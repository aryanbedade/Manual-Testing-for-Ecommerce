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First" sheetId="1" state="visible" r:id="rId3"/>
    <sheet name="Test Scenarios" sheetId="2" state="visible" r:id="rId4"/>
    <sheet name="Test Cases" sheetId="3" state="visible" r:id="rId5"/>
    <sheet name="Defect Log" sheetId="4" state="visible" r:id="rId6"/>
    <sheet name="Summary" sheetId="5" state="visible" r:id="rId7"/>
  </sheets>
  <definedNames>
    <definedName function="false" hidden="true" localSheetId="2" name="_xlnm._FilterDatabase" vbProcedure="false">'Test Cases'!$A$1:$P$50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<sst xmlns="http://schemas.openxmlformats.org/spreadsheetml/2006/main" count="714" uniqueCount="369">
  <si>
    <t xml:space="preserve">Project 1: E-commerce Website Manual Testing</t>
  </si>
  <si>
    <t xml:space="preserve">Application under test</t>
  </si>
  <si>
    <t xml:space="preserve">https://automationexercise.com (practice site for testers)</t>
  </si>
  <si>
    <t xml:space="preserve">Tester</t>
  </si>
  <si>
    <t xml:space="preserve">Aryan Bedade  (edit if needed)</t>
  </si>
  <si>
    <t xml:space="preserve">Purpose</t>
  </si>
  <si>
    <t xml:space="preserve">Starter test suite. The test design (scenarios, steps, data, expected results) is prepared for you. YOU must execute every test case on the live site and fill in the yellow columns with what really happened.</t>
  </si>
  <si>
    <t xml:space="preserve">Cells you must edit</t>
  </si>
  <si>
    <t xml:space="preserve">Test Cases sheet: yellow columns  Actual Result, Status, Browser, Executed On, Defect ID.
Defect Log sheet: add one row for every real bug you find (use IDs like DEF-001).
Do not edit the Summary sheet; it calculates automatically.</t>
  </si>
  <si>
    <t xml:space="preserve">Format example (Actual Result)</t>
  </si>
  <si>
    <t xml:space="preserve">Error message 'Your email or password is incorrect!' displayed in red below the form. User stayed on login page.</t>
  </si>
  <si>
    <t xml:space="preserve">Format example (Executed On)</t>
  </si>
  <si>
    <t xml:space="preserve">2026-10-12</t>
  </si>
  <si>
    <t xml:space="preserve">Status values</t>
  </si>
  <si>
    <t xml:space="preserve">Pass / Fail / Blocked / Not Run   (all rows start as Not Run)</t>
  </si>
  <si>
    <t xml:space="preserve">IMPORTANT</t>
  </si>
  <si>
    <t xml:space="preserve">Expected results were written from how this type of feature normally behaves. Websites change. If the live site behaves differently for a reason that is NOT a bug (for example a different message wording), correct the Expected Result column first, then execute. Where the expected result says 'record behaviour', no rule is documented, so decide from what you see whether it is a defect and explain in the Defect Log.</t>
  </si>
  <si>
    <t xml:space="preserve">Rule for honesty</t>
  </si>
  <si>
    <t xml:space="preserve">Never mark Pass without running the test. Only log defects you reproduced at least twice with screenshots saved in the screenshots folder.</t>
  </si>
  <si>
    <t xml:space="preserve">Test accounts</t>
  </si>
  <si>
    <t xml:space="preserve">Create your own account in REG-01. Do not use real personal data or real card numbers anywhere. Payment test data is dummy only.</t>
  </si>
  <si>
    <t xml:space="preserve">Yellow = you fill this in</t>
  </si>
  <si>
    <t xml:space="preserve">Scenario ID</t>
  </si>
  <si>
    <t xml:space="preserve">Module</t>
  </si>
  <si>
    <t xml:space="preserve">Scenario</t>
  </si>
  <si>
    <t xml:space="preserve">No. of Test Cases</t>
  </si>
  <si>
    <t xml:space="preserve">SC-01</t>
  </si>
  <si>
    <t xml:space="preserve">Registration</t>
  </si>
  <si>
    <t xml:space="preserve">Register a new user with valid details</t>
  </si>
  <si>
    <t xml:space="preserve">SC-02</t>
  </si>
  <si>
    <t xml:space="preserve">Registration validation with blank or invalid inputs</t>
  </si>
  <si>
    <t xml:space="preserve">SC-03</t>
  </si>
  <si>
    <t xml:space="preserve">Login</t>
  </si>
  <si>
    <t xml:space="preserve">Login with valid credentials and logout</t>
  </si>
  <si>
    <t xml:space="preserve">SC-04</t>
  </si>
  <si>
    <t xml:space="preserve">Login validation with invalid or blank credentials</t>
  </si>
  <si>
    <t xml:space="preserve">SC-05</t>
  </si>
  <si>
    <t xml:space="preserve">Product Search</t>
  </si>
  <si>
    <t xml:space="preserve">Search products with valid keywords</t>
  </si>
  <si>
    <t xml:space="preserve">SC-06</t>
  </si>
  <si>
    <t xml:space="preserve">Search with invalid and edge-case keywords</t>
  </si>
  <si>
    <t xml:space="preserve">SC-07</t>
  </si>
  <si>
    <t xml:space="preserve">Cart</t>
  </si>
  <si>
    <t xml:space="preserve">Add products and update quantity in cart</t>
  </si>
  <si>
    <t xml:space="preserve">SC-08</t>
  </si>
  <si>
    <t xml:space="preserve">Remove products and cart persistence</t>
  </si>
  <si>
    <t xml:space="preserve">SC-09</t>
  </si>
  <si>
    <t xml:space="preserve">Checkout</t>
  </si>
  <si>
    <t xml:space="preserve">Checkout flow and order review</t>
  </si>
  <si>
    <t xml:space="preserve">SC-10</t>
  </si>
  <si>
    <t xml:space="preserve">Payment form validation</t>
  </si>
  <si>
    <t xml:space="preserve">SC-11</t>
  </si>
  <si>
    <t xml:space="preserve">Order Confirmation</t>
  </si>
  <si>
    <t xml:space="preserve">Order confirmation and behaviour after order</t>
  </si>
  <si>
    <t xml:space="preserve">TC ID</t>
  </si>
  <si>
    <t xml:space="preserve">Test Case Title</t>
  </si>
  <si>
    <t xml:space="preserve">Preconditions</t>
  </si>
  <si>
    <t xml:space="preserve">Test Steps</t>
  </si>
  <si>
    <t xml:space="preserve">Test Data</t>
  </si>
  <si>
    <t xml:space="preserve">Expected Result</t>
  </si>
  <si>
    <t xml:space="preserve">Type</t>
  </si>
  <si>
    <t xml:space="preserve">Technique</t>
  </si>
  <si>
    <t xml:space="preserve">Priority</t>
  </si>
  <si>
    <t xml:space="preserve">Actual Result</t>
  </si>
  <si>
    <t xml:space="preserve">Status</t>
  </si>
  <si>
    <t xml:space="preserve">Browser</t>
  </si>
  <si>
    <t xml:space="preserve">Executed On</t>
  </si>
  <si>
    <t xml:space="preserve">Defect ID</t>
  </si>
  <si>
    <t xml:space="preserve">REG-01</t>
  </si>
  <si>
    <t xml:space="preserve">Register new user with all valid details</t>
  </si>
  <si>
    <t xml:space="preserve">Email is not registered yet</t>
  </si>
  <si>
    <t xml:space="preserve">1. Open Signup / Login page
2. Enter name and a NEW email under New User Signup
3. Click Signup
4. Fill all account information fields
5. Click Create Account</t>
  </si>
  <si>
    <t xml:space="preserve">Name: Test Aryan; Email: aryan.qa101@mailinator.com (use a new email every run); Password: Test@1234; valid address, country, state, city, zipcode, mobile</t>
  </si>
  <si>
    <t xml:space="preserve">'Account Created!' is displayed. Clicking Continue opens the home page with 'Logged in as &lt;name&gt;' in the header.</t>
  </si>
  <si>
    <t xml:space="preserve">Positive</t>
  </si>
  <si>
    <t xml:space="preserve">Functional</t>
  </si>
  <si>
    <t xml:space="preserve">High</t>
  </si>
  <si>
    <t xml:space="preserve">Not Run</t>
  </si>
  <si>
    <t xml:space="preserve">REG-02</t>
  </si>
  <si>
    <t xml:space="preserve">Register leaving optional fields empty</t>
  </si>
  <si>
    <t xml:space="preserve">1. Open Signup / Login page
2. Enter name and new email
3. Click Signup
4. Fill only mandatory fields, leave date of birth and both checkboxes empty
5. Click Create Account</t>
  </si>
  <si>
    <t xml:space="preserve">Optional: DOB, newsletter, special offers left empty</t>
  </si>
  <si>
    <t xml:space="preserve">Account is created successfully without the optional fields.</t>
  </si>
  <si>
    <t xml:space="preserve">EP</t>
  </si>
  <si>
    <t xml:space="preserve">Medium</t>
  </si>
  <si>
    <t xml:space="preserve">REG-03</t>
  </si>
  <si>
    <t xml:space="preserve">Signup with name and email both blank</t>
  </si>
  <si>
    <t xml:space="preserve">Signup / Login page open</t>
  </si>
  <si>
    <t xml:space="preserve">1. Leave name and email empty
2. Click Signup</t>
  </si>
  <si>
    <t xml:space="preserve">Name: (blank); Email: (blank)</t>
  </si>
  <si>
    <t xml:space="preserve">Signup is blocked and a 'Please fill out this field' style message appears on the first empty field.</t>
  </si>
  <si>
    <t xml:space="preserve">Negative</t>
  </si>
  <si>
    <t xml:space="preserve">REG-04</t>
  </si>
  <si>
    <t xml:space="preserve">Signup with blank name, valid email</t>
  </si>
  <si>
    <t xml:space="preserve">1. Leave name empty
2. Enter a valid new email
3. Click Signup</t>
  </si>
  <si>
    <t xml:space="preserve">Name: (blank); Email: aryan.qa102@mailinator.com</t>
  </si>
  <si>
    <t xml:space="preserve">Signup is blocked with a required-field message on name.</t>
  </si>
  <si>
    <t xml:space="preserve">REG-05</t>
  </si>
  <si>
    <t xml:space="preserve">Signup with valid name, blank email</t>
  </si>
  <si>
    <t xml:space="preserve">1. Enter a valid name
2. Leave email empty
3. Click Signup</t>
  </si>
  <si>
    <t xml:space="preserve">Name: Test Aryan; Email: (blank)</t>
  </si>
  <si>
    <t xml:space="preserve">Signup is blocked with a required-field message on email.</t>
  </si>
  <si>
    <t xml:space="preserve">REG-06</t>
  </si>
  <si>
    <t xml:space="preserve">Signup with invalid email formats</t>
  </si>
  <si>
    <t xml:space="preserve">1. Enter a valid name
2. Enter one invalid email from the test data
3. Click Signup
4. Repeat for each value</t>
  </si>
  <si>
    <t xml:space="preserve">user@; user.com; user@@mail.com; @mail.com; user mail@x.com</t>
  </si>
  <si>
    <t xml:space="preserve">Every invalid email is rejected with a validation message. The account information page does not open.</t>
  </si>
  <si>
    <t xml:space="preserve">REG-07</t>
  </si>
  <si>
    <t xml:space="preserve">Signup with an already registered email</t>
  </si>
  <si>
    <t xml:space="preserve">Email from REG-01 is already registered</t>
  </si>
  <si>
    <t xml:space="preserve">1. Enter any name
2. Enter the email used in REG-01
3. Click Signup</t>
  </si>
  <si>
    <t xml:space="preserve">Email: aryan.qa101@mailinator.com</t>
  </si>
  <si>
    <t xml:space="preserve">'Email Address already exist!' is displayed and no second account is created.</t>
  </si>
  <si>
    <t xml:space="preserve">REG-08</t>
  </si>
  <si>
    <t xml:space="preserve">Create Account with all mandatory fields blank</t>
  </si>
  <si>
    <t xml:space="preserve">Signup done with a new name and email; account information page open</t>
  </si>
  <si>
    <t xml:space="preserve">1. Leave password, first name, last name, address, country, state, city, zipcode and mobile empty
2. Click Create Account</t>
  </si>
  <si>
    <t xml:space="preserve">All mandatory fields blank</t>
  </si>
  <si>
    <t xml:space="preserve">Account is not created and the first empty mandatory field is flagged.</t>
  </si>
  <si>
    <t xml:space="preserve">REG-09</t>
  </si>
  <si>
    <t xml:space="preserve">Password length boundaries</t>
  </si>
  <si>
    <t xml:space="preserve">Account information page open</t>
  </si>
  <si>
    <t xml:space="preserve">1. Fill all fields with valid data
2. Enter a password from the test data
3. Click Create Account
4. Repeat with a new email for each value</t>
  </si>
  <si>
    <t xml:space="preserve">Passwords of 1, 6, 8, 20 and 50 characters</t>
  </si>
  <si>
    <t xml:space="preserve">No password rule is documented. Record whether each length is accepted. Log a defect if a 1-character password is accepted with no validation.</t>
  </si>
  <si>
    <t xml:space="preserve">Boundary</t>
  </si>
  <si>
    <t xml:space="preserve">BVA</t>
  </si>
  <si>
    <t xml:space="preserve">REG-10</t>
  </si>
  <si>
    <t xml:space="preserve">Letters in the mobile number field</t>
  </si>
  <si>
    <t xml:space="preserve">1. Fill all other fields with valid data
2. Enter letters in Mobile Number
3. Click Create Account</t>
  </si>
  <si>
    <t xml:space="preserve">Mobile: abcdefghij</t>
  </si>
  <si>
    <t xml:space="preserve">Record behaviour. A mobile field should reject or flag non-numeric input. Log a defect if the account is created.</t>
  </si>
  <si>
    <t xml:space="preserve">REG-11</t>
  </si>
  <si>
    <t xml:space="preserve">Special characters and digits in name</t>
  </si>
  <si>
    <t xml:space="preserve">1. Enter name from test data
2. Enter a valid new email
3. Click Signup
4. Complete account creation</t>
  </si>
  <si>
    <t xml:space="preserve">Name: @@##$$ ; Name: 12345</t>
  </si>
  <si>
    <t xml:space="preserve">Record behaviour. Log a defect if clearly invalid names are accepted without any validation.</t>
  </si>
  <si>
    <t xml:space="preserve">Low</t>
  </si>
  <si>
    <t xml:space="preserve">LOG-01</t>
  </si>
  <si>
    <t xml:space="preserve">Login with valid credentials</t>
  </si>
  <si>
    <t xml:space="preserve">User from REG-01 exists</t>
  </si>
  <si>
    <t xml:space="preserve">1. Open Signup / Login page
2. Enter registered email and password under Login to your account
3. Click Login</t>
  </si>
  <si>
    <t xml:space="preserve">Email: aryan.qa101@mailinator.com; Password: Test@1234</t>
  </si>
  <si>
    <t xml:space="preserve">User is logged in and the header shows 'Logged in as &lt;name&gt;'.</t>
  </si>
  <si>
    <t xml:space="preserve">LOG-02</t>
  </si>
  <si>
    <t xml:space="preserve">Login with wrong password</t>
  </si>
  <si>
    <t xml:space="preserve">User exists</t>
  </si>
  <si>
    <t xml:space="preserve">1. Enter registered email
2. Enter a wrong password
3. Click Login</t>
  </si>
  <si>
    <t xml:space="preserve">Email: aryan.qa101@mailinator.com; Password: Wrong@999</t>
  </si>
  <si>
    <t xml:space="preserve">'Your email or password is incorrect!' is displayed. User stays on the login page.</t>
  </si>
  <si>
    <t xml:space="preserve">LOG-03</t>
  </si>
  <si>
    <t xml:space="preserve">Login with unregistered email</t>
  </si>
  <si>
    <t xml:space="preserve">None</t>
  </si>
  <si>
    <t xml:space="preserve">1. Enter an email that was never registered
2. Enter any password
3. Click Login</t>
  </si>
  <si>
    <t xml:space="preserve">Email: nouser.xyz@mailinator.com; Password: Test@1234</t>
  </si>
  <si>
    <t xml:space="preserve">'Your email or password is incorrect!' is displayed.</t>
  </si>
  <si>
    <t xml:space="preserve">LOG-04</t>
  </si>
  <si>
    <t xml:space="preserve">Login with blank email and password</t>
  </si>
  <si>
    <t xml:space="preserve">Login page open</t>
  </si>
  <si>
    <t xml:space="preserve">1. Leave both fields empty
2. Click Login</t>
  </si>
  <si>
    <t xml:space="preserve">Both blank</t>
  </si>
  <si>
    <t xml:space="preserve">Login is blocked with a required-field message.</t>
  </si>
  <si>
    <t xml:space="preserve">LOG-05</t>
  </si>
  <si>
    <t xml:space="preserve">Login with valid email and blank password</t>
  </si>
  <si>
    <t xml:space="preserve">1. Enter registered email
2. Leave password empty
3. Click Login</t>
  </si>
  <si>
    <t xml:space="preserve">Email: aryan.qa101@mailinator.com; Password: (blank)</t>
  </si>
  <si>
    <t xml:space="preserve">Login is blocked with a required-field message on password.</t>
  </si>
  <si>
    <t xml:space="preserve">LOG-06</t>
  </si>
  <si>
    <t xml:space="preserve">Login with invalid email format</t>
  </si>
  <si>
    <t xml:space="preserve">1. Enter an invalid email
2. Enter any password
3. Click Login</t>
  </si>
  <si>
    <t xml:space="preserve">Email: aryan.qa101; Password: Test@1234</t>
  </si>
  <si>
    <t xml:space="preserve">Login is rejected with an email-format validation message.</t>
  </si>
  <si>
    <t xml:space="preserve">LOG-07</t>
  </si>
  <si>
    <t xml:space="preserve">Login email in different letter case</t>
  </si>
  <si>
    <t xml:space="preserve">1. Enter the registered email in UPPERCASE
2. Enter the correct password
3. Click Login</t>
  </si>
  <si>
    <t xml:space="preserve">Email: ARYAN.QA101@MAILINATOR.COM</t>
  </si>
  <si>
    <t xml:space="preserve">Record behaviour. Decide if it is a defect and explain in the Defect Log.</t>
  </si>
  <si>
    <t xml:space="preserve">LOG-08</t>
  </si>
  <si>
    <t xml:space="preserve">Logout and back button</t>
  </si>
  <si>
    <t xml:space="preserve">User logged in</t>
  </si>
  <si>
    <t xml:space="preserve">1. Click Logout in the header
2. Check the header
3. Press the browser Back button</t>
  </si>
  <si>
    <t xml:space="preserve">User returns to the login page and the header shows Signup / Login. After Back, the page does not show a logged-in state.</t>
  </si>
  <si>
    <t xml:space="preserve">LOG-09</t>
  </si>
  <si>
    <t xml:space="preserve">Password field masks input and rejects injection-style text</t>
  </si>
  <si>
    <t xml:space="preserve">1. Type a password and check the characters are masked
2. Enter injection-style text in the email field
3. Click Login</t>
  </si>
  <si>
    <t xml:space="preserve">Email: ' OR '1'='1 ; Password: x</t>
  </si>
  <si>
    <t xml:space="preserve">Password is masked. Login is rejected and no error page or stack trace is shown.</t>
  </si>
  <si>
    <t xml:space="preserve">SRC-01</t>
  </si>
  <si>
    <t xml:space="preserve">Search with a valid keyword</t>
  </si>
  <si>
    <t xml:space="preserve">Products page open</t>
  </si>
  <si>
    <t xml:space="preserve">1. Click Products
2. Enter keyword in the search box
3. Click the search button</t>
  </si>
  <si>
    <t xml:space="preserve">Keyword: top</t>
  </si>
  <si>
    <t xml:space="preserve">'Searched Products' is displayed with only products related to the keyword.</t>
  </si>
  <si>
    <t xml:space="preserve">SRC-02</t>
  </si>
  <si>
    <t xml:space="preserve">Search with an exact product name</t>
  </si>
  <si>
    <t xml:space="preserve">1. Enter an exact product name
2. Click search</t>
  </si>
  <si>
    <t xml:space="preserve">Keyword: Blue Top</t>
  </si>
  <si>
    <t xml:space="preserve">The matching product is displayed with correct name and price.</t>
  </si>
  <si>
    <t xml:space="preserve">SRC-03</t>
  </si>
  <si>
    <t xml:space="preserve">Search keyword in different letter case</t>
  </si>
  <si>
    <t xml:space="preserve">1. Search lowercase keyword
2. Search UPPERCASE keyword
3. Compare results</t>
  </si>
  <si>
    <t xml:space="preserve">top  and  TOP</t>
  </si>
  <si>
    <t xml:space="preserve">Both searches return the same results.</t>
  </si>
  <si>
    <t xml:space="preserve">SRC-04</t>
  </si>
  <si>
    <t xml:space="preserve">Search with no matching keyword</t>
  </si>
  <si>
    <t xml:space="preserve">1. Enter a keyword that matches nothing
2. Click search</t>
  </si>
  <si>
    <t xml:space="preserve">Keyword: xyzabc123</t>
  </si>
  <si>
    <t xml:space="preserve">No products are shown and the page does not break.</t>
  </si>
  <si>
    <t xml:space="preserve">SRC-05</t>
  </si>
  <si>
    <t xml:space="preserve">Search with an empty keyword</t>
  </si>
  <si>
    <t xml:space="preserve">1. Leave the search box empty
2. Click search</t>
  </si>
  <si>
    <t xml:space="preserve">(blank)</t>
  </si>
  <si>
    <t xml:space="preserve">Record behaviour (all products, none, or message). Log a defect if the page breaks.</t>
  </si>
  <si>
    <t xml:space="preserve">SRC-06</t>
  </si>
  <si>
    <t xml:space="preserve">Search with special characters</t>
  </si>
  <si>
    <t xml:space="preserve">1. Enter special characters
2. Click search</t>
  </si>
  <si>
    <t xml:space="preserve">Keyword: @#$%^&amp;*</t>
  </si>
  <si>
    <t xml:space="preserve">No error page or crash. Result is empty or a safe message.</t>
  </si>
  <si>
    <t xml:space="preserve">SRC-07</t>
  </si>
  <si>
    <t xml:space="preserve">Search with a very long keyword</t>
  </si>
  <si>
    <t xml:space="preserve">1. Paste a 256-character string into the search box
2. Click search</t>
  </si>
  <si>
    <t xml:space="preserve">256 characters of the letter a</t>
  </si>
  <si>
    <t xml:space="preserve">Page handles it gracefully with an empty result and no layout break.</t>
  </si>
  <si>
    <t xml:space="preserve">SRC-08</t>
  </si>
  <si>
    <t xml:space="preserve">Add a product to cart from search results</t>
  </si>
  <si>
    <t xml:space="preserve">Search results displayed</t>
  </si>
  <si>
    <t xml:space="preserve">1. Search for 'Blue Top'
2. Click Add to cart on the result
3. Click View Cart</t>
  </si>
  <si>
    <t xml:space="preserve">Product is added and appears in the cart with the correct price.</t>
  </si>
  <si>
    <t xml:space="preserve">CRT-01</t>
  </si>
  <si>
    <t xml:space="preserve">Add a single product from the Products page</t>
  </si>
  <si>
    <t xml:space="preserve">1. Hover over a product
2. Click Add to cart
3. Click View Cart</t>
  </si>
  <si>
    <t xml:space="preserve">Any product</t>
  </si>
  <si>
    <t xml:space="preserve">A confirmation 'Added!' appears. The cart shows the product with quantity 1 and correct price.</t>
  </si>
  <si>
    <t xml:space="preserve">CRT-02</t>
  </si>
  <si>
    <t xml:space="preserve">Add the same product twice</t>
  </si>
  <si>
    <t xml:space="preserve">1. Add a product to cart
2. Click Continue Shopping
3. Add the same product again
4. Open the cart</t>
  </si>
  <si>
    <t xml:space="preserve">Cart shows one row with quantity 2 and total = price x 2 (or two rows; record). Total is correct.</t>
  </si>
  <si>
    <t xml:space="preserve">CRT-03</t>
  </si>
  <si>
    <t xml:space="preserve">Add two different products</t>
  </si>
  <si>
    <t xml:space="preserve">1. Add product A
2. Continue Shopping
3. Add product B
4. Open the cart</t>
  </si>
  <si>
    <t xml:space="preserve">Any two products</t>
  </si>
  <si>
    <t xml:space="preserve">Both products are listed. Each total is correct.</t>
  </si>
  <si>
    <t xml:space="preserve">CRT-04</t>
  </si>
  <si>
    <t xml:space="preserve">Set quantity on product detail page</t>
  </si>
  <si>
    <t xml:space="preserve">Product detail page open</t>
  </si>
  <si>
    <t xml:space="preserve">1. Open a product detail page
2. Change quantity
3. Click Add to cart
4. Open the cart</t>
  </si>
  <si>
    <t xml:space="preserve">Quantity: 3</t>
  </si>
  <si>
    <t xml:space="preserve">Cart shows quantity 3 and total = 3 x price.</t>
  </si>
  <si>
    <t xml:space="preserve">CRT-05</t>
  </si>
  <si>
    <t xml:space="preserve">Quantity boundaries: zero and negative</t>
  </si>
  <si>
    <t xml:space="preserve">1. Enter a quantity from the test data
2. Click Add to cart
3. Open the cart
4. Repeat for each value</t>
  </si>
  <si>
    <t xml:space="preserve">Quantities: 0, -1, 1, 100</t>
  </si>
  <si>
    <t xml:space="preserve">0 and -1 are not accepted (blocked or ignored). 1 and 100 work with correct totals. Record any deviation as a defect.</t>
  </si>
  <si>
    <t xml:space="preserve">CRT-06</t>
  </si>
  <si>
    <t xml:space="preserve">Remove an item from the cart</t>
  </si>
  <si>
    <t xml:space="preserve">Cart has two items</t>
  </si>
  <si>
    <t xml:space="preserve">1. Open the cart
2. Click the X on one item</t>
  </si>
  <si>
    <t xml:space="preserve">2 items in cart</t>
  </si>
  <si>
    <t xml:space="preserve">The item is removed and the other item stays. Totals update correctly.</t>
  </si>
  <si>
    <t xml:space="preserve">CRT-07</t>
  </si>
  <si>
    <t xml:space="preserve">Remove the last item from the cart</t>
  </si>
  <si>
    <t xml:space="preserve">Cart has one item</t>
  </si>
  <si>
    <t xml:space="preserve">1. Open the cart
2. Click the X on the item</t>
  </si>
  <si>
    <t xml:space="preserve">1 item in cart</t>
  </si>
  <si>
    <t xml:space="preserve">An empty-cart message is displayed with a link to the products.</t>
  </si>
  <si>
    <t xml:space="preserve">CRT-08</t>
  </si>
  <si>
    <t xml:space="preserve">Cart contents after page refresh</t>
  </si>
  <si>
    <t xml:space="preserve">Cart has items</t>
  </si>
  <si>
    <t xml:space="preserve">1. Open the cart
2. Refresh the page (F5)</t>
  </si>
  <si>
    <t xml:space="preserve">Items in cart</t>
  </si>
  <si>
    <t xml:space="preserve">Cart contents and quantities are unchanged.</t>
  </si>
  <si>
    <t xml:space="preserve">CRT-09</t>
  </si>
  <si>
    <t xml:space="preserve">Guest cart after login</t>
  </si>
  <si>
    <t xml:space="preserve">User exists, logged out, cart empty</t>
  </si>
  <si>
    <t xml:space="preserve">1. Add a product as a guest
2. Login with a registered user
3. Open the cart</t>
  </si>
  <si>
    <t xml:space="preserve">Record whether the guest item is kept. Log a defect if the cart behaves inconsistently.</t>
  </si>
  <si>
    <t xml:space="preserve">CHK-01</t>
  </si>
  <si>
    <t xml:space="preserve">Proceed to checkout as logged-in user</t>
  </si>
  <si>
    <t xml:space="preserve">User logged in, cart has 1+ items</t>
  </si>
  <si>
    <t xml:space="preserve">1. Open the cart
2. Click Proceed To Checkout</t>
  </si>
  <si>
    <t xml:space="preserve">Registered address</t>
  </si>
  <si>
    <t xml:space="preserve">Delivery and billing address match the registered address. Order review lists the cart items.</t>
  </si>
  <si>
    <t xml:space="preserve">CHK-02</t>
  </si>
  <si>
    <t xml:space="preserve">Proceed to checkout as guest</t>
  </si>
  <si>
    <t xml:space="preserve">User logged out, cart has an item</t>
  </si>
  <si>
    <t xml:space="preserve">A prompt to Register / Login is displayed. Checkout does not continue as guest.</t>
  </si>
  <si>
    <t xml:space="preserve">CHK-03</t>
  </si>
  <si>
    <t xml:space="preserve">Order review totals</t>
  </si>
  <si>
    <t xml:space="preserve">User logged in, cart has 2 items</t>
  </si>
  <si>
    <t xml:space="preserve">1. Open the cart
2. Proceed To Checkout
3. Compare item totals with the Total Amount</t>
  </si>
  <si>
    <t xml:space="preserve">2 items</t>
  </si>
  <si>
    <t xml:space="preserve">Total Amount equals the sum of item totals.</t>
  </si>
  <si>
    <t xml:space="preserve">CHK-04</t>
  </si>
  <si>
    <t xml:space="preserve">Add a comment and place the order</t>
  </si>
  <si>
    <t xml:space="preserve">On the checkout review page</t>
  </si>
  <si>
    <t xml:space="preserve">1. Type a comment in the box
2. Click Place Order</t>
  </si>
  <si>
    <t xml:space="preserve">Comment: Please deliver in the evening</t>
  </si>
  <si>
    <t xml:space="preserve">Payment page opens.</t>
  </si>
  <si>
    <t xml:space="preserve">CHK-05</t>
  </si>
  <si>
    <t xml:space="preserve">Payment with all fields blank</t>
  </si>
  <si>
    <t xml:space="preserve">Payment page open</t>
  </si>
  <si>
    <t xml:space="preserve">1. Leave all fields empty
2. Click Pay and Confirm Order</t>
  </si>
  <si>
    <t xml:space="preserve">All blank</t>
  </si>
  <si>
    <t xml:space="preserve">Payment is blocked with a required-field message.</t>
  </si>
  <si>
    <t xml:space="preserve">CHK-06</t>
  </si>
  <si>
    <t xml:space="preserve">Payment with letters in card number</t>
  </si>
  <si>
    <t xml:space="preserve">1. Fill all other fields correctly
2. Enter letters in the card number
3. Click Pay and Confirm Order</t>
  </si>
  <si>
    <t xml:space="preserve">Card number: abcdabcdabcdabcd</t>
  </si>
  <si>
    <t xml:space="preserve">Record behaviour. A card number field should reject non-numeric input. Log a defect if the order is placed.</t>
  </si>
  <si>
    <t xml:space="preserve">CHK-07</t>
  </si>
  <si>
    <t xml:space="preserve">Payment with an expired date</t>
  </si>
  <si>
    <t xml:space="preserve">1. Fill all fields
2. Enter an expiry date in the past
3. Click Pay and Confirm Order</t>
  </si>
  <si>
    <t xml:space="preserve">Expiry: 01 / 2020; Name on card: Test User; card 4111111111111111; CVC 123</t>
  </si>
  <si>
    <t xml:space="preserve">Record behaviour. An expired card should be rejected. Log a defect if the order is placed.</t>
  </si>
  <si>
    <t xml:space="preserve">CHK-08</t>
  </si>
  <si>
    <t xml:space="preserve">CVC length boundaries</t>
  </si>
  <si>
    <t xml:space="preserve">1. Fill all other fields correctly
2. Enter a CVC from the test data
3. Click Pay and Confirm Order
4. Repeat with a new order</t>
  </si>
  <si>
    <t xml:space="preserve">CVC: 1, 2, 3, 4 and 5 digits</t>
  </si>
  <si>
    <t xml:space="preserve">3-digit CVC is accepted. Record behaviour for the others. Log a defect if clearly invalid lengths are accepted.</t>
  </si>
  <si>
    <t xml:space="preserve">ORD-01</t>
  </si>
  <si>
    <t xml:space="preserve">Order is confirmed after valid payment</t>
  </si>
  <si>
    <t xml:space="preserve">On the payment page with valid cart</t>
  </si>
  <si>
    <t xml:space="preserve">1. Fill all payment fields with valid test data
2. Click Pay and Confirm Order</t>
  </si>
  <si>
    <t xml:space="preserve">Name on card: Test User; Card number: 4111111111111111; CVC: 123; Expiry: 12 / 2030</t>
  </si>
  <si>
    <t xml:space="preserve">An order placed / confirmation message is displayed.</t>
  </si>
  <si>
    <t xml:space="preserve">ORD-02</t>
  </si>
  <si>
    <t xml:space="preserve">Download invoice after order</t>
  </si>
  <si>
    <t xml:space="preserve">Order placed</t>
  </si>
  <si>
    <t xml:space="preserve">1. On the confirmation page click Download Invoice
2. Open the file</t>
  </si>
  <si>
    <t xml:space="preserve">Order from ORD-01</t>
  </si>
  <si>
    <t xml:space="preserve">The invoice downloads and shows the correct items and total.</t>
  </si>
  <si>
    <t xml:space="preserve">ORD-03</t>
  </si>
  <si>
    <t xml:space="preserve">Cart is empty after order</t>
  </si>
  <si>
    <t xml:space="preserve">1. Click Continue
2. Open the cart</t>
  </si>
  <si>
    <t xml:space="preserve">Cart is empty after a successful order.</t>
  </si>
  <si>
    <t xml:space="preserve">ORD-04</t>
  </si>
  <si>
    <t xml:space="preserve">Refresh and Back on confirmation page</t>
  </si>
  <si>
    <t xml:space="preserve">1. Refresh the confirmation page
2. Press Back</t>
  </si>
  <si>
    <t xml:space="preserve">No duplicate order is created and no error page is shown. Record behaviour.</t>
  </si>
  <si>
    <t xml:space="preserve">Title</t>
  </si>
  <si>
    <t xml:space="preserve">Related TC</t>
  </si>
  <si>
    <t xml:space="preserve">Environment</t>
  </si>
  <si>
    <t xml:space="preserve">Steps to Reproduce</t>
  </si>
  <si>
    <t xml:space="preserve">Severity</t>
  </si>
  <si>
    <t xml:space="preserve">Reported On</t>
  </si>
  <si>
    <t xml:space="preserve">Retest Result</t>
  </si>
  <si>
    <t xml:space="preserve">Screenshot file</t>
  </si>
  <si>
    <t xml:space="preserve">EXAMPLE-DELETE-ME</t>
  </si>
  <si>
    <t xml:space="preserve">Short, specific title of what is wrong</t>
  </si>
  <si>
    <t xml:space="preserve">Module name</t>
  </si>
  <si>
    <t xml:space="preserve">TC-ID</t>
  </si>
  <si>
    <t xml:space="preserve">Chrome 130 / Windows 11</t>
  </si>
  <si>
    <t xml:space="preserve">1. Step one
2. Step two
3. Step three</t>
  </si>
  <si>
    <t xml:space="preserve">What should happen</t>
  </si>
  <si>
    <t xml:space="preserve">What actually happened</t>
  </si>
  <si>
    <t xml:space="preserve">New</t>
  </si>
  <si>
    <t xml:space="preserve">(fill after retest)</t>
  </si>
  <si>
    <t xml:space="preserve">screenshots/DEF-001.png</t>
  </si>
  <si>
    <t xml:space="preserve">Test Execution Summary (auto-calculated)</t>
  </si>
  <si>
    <t xml:space="preserve">Total</t>
  </si>
  <si>
    <t xml:space="preserve">Pass</t>
  </si>
  <si>
    <t xml:space="preserve">Fail</t>
  </si>
  <si>
    <t xml:space="preserve">Blocked</t>
  </si>
  <si>
    <t xml:space="preserve">Pass %</t>
  </si>
  <si>
    <t xml:space="preserve">TOTAL</t>
  </si>
  <si>
    <t xml:space="preserve">Defects by severity (rows with ID starting DEF-)</t>
  </si>
  <si>
    <t xml:space="preserve">Count</t>
  </si>
  <si>
    <t xml:space="preserve">Critical</t>
  </si>
  <si>
    <t xml:space="preserve">Total defects</t>
  </si>
</sst>
</file>

<file path=xl/styles.xml><?xml version="1.0" encoding="utf-8"?>
<styleSheet xmlns="http://schemas.openxmlformats.org/spreadsheetml/2006/main">
  <numFmts count="2">
    <numFmt numFmtId="164" formatCode="General"/>
    <numFmt numFmtId="165" formatCode="0.0%"/>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color theme="1"/>
      <name val="Arial"/>
      <family val="0"/>
      <charset val="1"/>
    </font>
    <font>
      <b val="true"/>
      <sz val="10"/>
      <name val="Arial"/>
      <family val="0"/>
      <charset val="1"/>
    </font>
    <font>
      <sz val="10"/>
      <name val="Arial"/>
      <family val="0"/>
      <charset val="1"/>
    </font>
    <font>
      <b val="true"/>
      <sz val="10"/>
      <color rgb="FFFFFFFF"/>
      <name val="Arial"/>
      <family val="0"/>
      <charset val="1"/>
    </font>
    <font>
      <i val="true"/>
      <sz val="10"/>
      <color rgb="FF7F7F7F"/>
      <name val="Arial"/>
      <family val="0"/>
      <charset val="1"/>
    </font>
    <font>
      <b val="true"/>
      <sz val="13"/>
      <name val="Arial"/>
      <family val="0"/>
      <charset val="1"/>
    </font>
    <font>
      <b val="true"/>
      <sz val="11"/>
      <name val="Arial"/>
      <family val="0"/>
      <charset val="1"/>
    </font>
  </fonts>
  <fills count="5">
    <fill>
      <patternFill patternType="none"/>
    </fill>
    <fill>
      <patternFill patternType="gray125"/>
    </fill>
    <fill>
      <patternFill patternType="solid">
        <fgColor rgb="FFF2F2F2"/>
        <bgColor rgb="FFFFFFFF"/>
      </patternFill>
    </fill>
    <fill>
      <patternFill patternType="solid">
        <fgColor rgb="FFFFF2CC"/>
        <bgColor rgb="FFF2F2F2"/>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5" fontId="6" fillId="2"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0"/>
  </cols>
  <sheetData>
    <row r="1" customFormat="false" ht="17.35" hidden="false" customHeight="false" outlineLevel="0" collapsed="false">
      <c r="A1" s="1" t="s">
        <v>0</v>
      </c>
      <c r="B1" s="2"/>
    </row>
    <row r="2" customFormat="false" ht="15" hidden="false" customHeight="false" outlineLevel="0" collapsed="false">
      <c r="A2" s="2"/>
      <c r="B2" s="2"/>
    </row>
    <row r="3" customFormat="false" ht="15" hidden="false" customHeight="false" outlineLevel="0" collapsed="false">
      <c r="A3" s="3" t="s">
        <v>1</v>
      </c>
      <c r="B3" s="4" t="s">
        <v>2</v>
      </c>
    </row>
    <row r="4" customFormat="false" ht="15" hidden="false" customHeight="false" outlineLevel="0" collapsed="false">
      <c r="A4" s="3" t="s">
        <v>3</v>
      </c>
      <c r="B4" s="4" t="s">
        <v>4</v>
      </c>
    </row>
    <row r="5" customFormat="false" ht="23.85" hidden="false" customHeight="false" outlineLevel="0" collapsed="false">
      <c r="A5" s="3" t="s">
        <v>5</v>
      </c>
      <c r="B5" s="4" t="s">
        <v>6</v>
      </c>
    </row>
    <row r="6" customFormat="false" ht="35.05" hidden="false" customHeight="false" outlineLevel="0" collapsed="false">
      <c r="A6" s="3" t="s">
        <v>7</v>
      </c>
      <c r="B6" s="4" t="s">
        <v>8</v>
      </c>
    </row>
    <row r="7" customFormat="false" ht="15" hidden="false" customHeight="false" outlineLevel="0" collapsed="false">
      <c r="A7" s="3" t="s">
        <v>9</v>
      </c>
      <c r="B7" s="4" t="s">
        <v>10</v>
      </c>
    </row>
    <row r="8" customFormat="false" ht="15" hidden="false" customHeight="false" outlineLevel="0" collapsed="false">
      <c r="A8" s="3" t="s">
        <v>11</v>
      </c>
      <c r="B8" s="4" t="s">
        <v>12</v>
      </c>
    </row>
    <row r="9" customFormat="false" ht="15" hidden="false" customHeight="false" outlineLevel="0" collapsed="false">
      <c r="A9" s="3" t="s">
        <v>13</v>
      </c>
      <c r="B9" s="4" t="s">
        <v>14</v>
      </c>
    </row>
    <row r="10" customFormat="false" ht="46.25" hidden="false" customHeight="false" outlineLevel="0" collapsed="false">
      <c r="A10" s="3" t="s">
        <v>15</v>
      </c>
      <c r="B10" s="4" t="s">
        <v>16</v>
      </c>
    </row>
    <row r="11" customFormat="false" ht="23.85" hidden="false" customHeight="false" outlineLevel="0" collapsed="false">
      <c r="A11" s="3" t="s">
        <v>17</v>
      </c>
      <c r="B11" s="4" t="s">
        <v>18</v>
      </c>
    </row>
    <row r="12" customFormat="false" ht="23.85" hidden="false" customHeight="false" outlineLevel="0" collapsed="false">
      <c r="A12" s="3" t="s">
        <v>19</v>
      </c>
      <c r="B12" s="4" t="s">
        <v>20</v>
      </c>
    </row>
    <row r="13" customFormat="false" ht="15" hidden="false" customHeight="false" outlineLevel="0" collapsed="false">
      <c r="A13" s="2"/>
      <c r="B13" s="2"/>
    </row>
    <row r="14" customFormat="false" ht="15" hidden="false" customHeight="false" outlineLevel="0" collapsed="false">
      <c r="A14" s="5" t="s">
        <v>21</v>
      </c>
      <c r="B14"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70"/>
    <col collapsed="false" customWidth="true" hidden="false" outlineLevel="0" max="4" min="4" style="0" width="18"/>
  </cols>
  <sheetData>
    <row r="1" customFormat="false" ht="15" hidden="false" customHeight="false" outlineLevel="0" collapsed="false">
      <c r="A1" s="6" t="s">
        <v>22</v>
      </c>
      <c r="B1" s="6" t="s">
        <v>23</v>
      </c>
      <c r="C1" s="6" t="s">
        <v>24</v>
      </c>
      <c r="D1" s="6" t="s">
        <v>25</v>
      </c>
    </row>
    <row r="2" customFormat="false" ht="15" hidden="false" customHeight="false" outlineLevel="0" collapsed="false">
      <c r="A2" s="4" t="s">
        <v>26</v>
      </c>
      <c r="B2" s="4" t="s">
        <v>27</v>
      </c>
      <c r="C2" s="4" t="s">
        <v>28</v>
      </c>
      <c r="D2" s="4" t="n">
        <f aca="false">COUNTIF('Test Cases'!$C$2:$C$200,A2)</f>
        <v>2</v>
      </c>
    </row>
    <row r="3" customFormat="false" ht="15" hidden="false" customHeight="false" outlineLevel="0" collapsed="false">
      <c r="A3" s="4" t="s">
        <v>29</v>
      </c>
      <c r="B3" s="4" t="s">
        <v>27</v>
      </c>
      <c r="C3" s="4" t="s">
        <v>30</v>
      </c>
      <c r="D3" s="4" t="n">
        <f aca="false">COUNTIF('Test Cases'!$C$2:$C$200,A3)</f>
        <v>9</v>
      </c>
    </row>
    <row r="4" customFormat="false" ht="15" hidden="false" customHeight="false" outlineLevel="0" collapsed="false">
      <c r="A4" s="4" t="s">
        <v>31</v>
      </c>
      <c r="B4" s="4" t="s">
        <v>32</v>
      </c>
      <c r="C4" s="4" t="s">
        <v>33</v>
      </c>
      <c r="D4" s="4" t="n">
        <f aca="false">COUNTIF('Test Cases'!$C$2:$C$200,A4)</f>
        <v>2</v>
      </c>
    </row>
    <row r="5" customFormat="false" ht="15" hidden="false" customHeight="false" outlineLevel="0" collapsed="false">
      <c r="A5" s="4" t="s">
        <v>34</v>
      </c>
      <c r="B5" s="4" t="s">
        <v>32</v>
      </c>
      <c r="C5" s="4" t="s">
        <v>35</v>
      </c>
      <c r="D5" s="4" t="n">
        <f aca="false">COUNTIF('Test Cases'!$C$2:$C$200,A5)</f>
        <v>7</v>
      </c>
    </row>
    <row r="6" customFormat="false" ht="15" hidden="false" customHeight="false" outlineLevel="0" collapsed="false">
      <c r="A6" s="4" t="s">
        <v>36</v>
      </c>
      <c r="B6" s="4" t="s">
        <v>37</v>
      </c>
      <c r="C6" s="4" t="s">
        <v>38</v>
      </c>
      <c r="D6" s="4" t="n">
        <f aca="false">COUNTIF('Test Cases'!$C$2:$C$200,A6)</f>
        <v>4</v>
      </c>
    </row>
    <row r="7" customFormat="false" ht="15" hidden="false" customHeight="false" outlineLevel="0" collapsed="false">
      <c r="A7" s="4" t="s">
        <v>39</v>
      </c>
      <c r="B7" s="4" t="s">
        <v>37</v>
      </c>
      <c r="C7" s="4" t="s">
        <v>40</v>
      </c>
      <c r="D7" s="4" t="n">
        <f aca="false">COUNTIF('Test Cases'!$C$2:$C$200,A7)</f>
        <v>4</v>
      </c>
    </row>
    <row r="8" customFormat="false" ht="15" hidden="false" customHeight="false" outlineLevel="0" collapsed="false">
      <c r="A8" s="4" t="s">
        <v>41</v>
      </c>
      <c r="B8" s="4" t="s">
        <v>42</v>
      </c>
      <c r="C8" s="4" t="s">
        <v>43</v>
      </c>
      <c r="D8" s="4" t="n">
        <f aca="false">COUNTIF('Test Cases'!$C$2:$C$200,A8)</f>
        <v>5</v>
      </c>
    </row>
    <row r="9" customFormat="false" ht="15" hidden="false" customHeight="false" outlineLevel="0" collapsed="false">
      <c r="A9" s="4" t="s">
        <v>44</v>
      </c>
      <c r="B9" s="4" t="s">
        <v>42</v>
      </c>
      <c r="C9" s="4" t="s">
        <v>45</v>
      </c>
      <c r="D9" s="4" t="n">
        <f aca="false">COUNTIF('Test Cases'!$C$2:$C$200,A9)</f>
        <v>4</v>
      </c>
    </row>
    <row r="10" customFormat="false" ht="15" hidden="false" customHeight="false" outlineLevel="0" collapsed="false">
      <c r="A10" s="4" t="s">
        <v>46</v>
      </c>
      <c r="B10" s="4" t="s">
        <v>47</v>
      </c>
      <c r="C10" s="4" t="s">
        <v>48</v>
      </c>
      <c r="D10" s="4" t="n">
        <f aca="false">COUNTIF('Test Cases'!$C$2:$C$200,A10)</f>
        <v>4</v>
      </c>
    </row>
    <row r="11" customFormat="false" ht="15" hidden="false" customHeight="false" outlineLevel="0" collapsed="false">
      <c r="A11" s="4" t="s">
        <v>49</v>
      </c>
      <c r="B11" s="4" t="s">
        <v>47</v>
      </c>
      <c r="C11" s="4" t="s">
        <v>50</v>
      </c>
      <c r="D11" s="4" t="n">
        <f aca="false">COUNTIF('Test Cases'!$C$2:$C$200,A11)</f>
        <v>4</v>
      </c>
    </row>
    <row r="12" customFormat="false" ht="15" hidden="false" customHeight="false" outlineLevel="0" collapsed="false">
      <c r="A12" s="4" t="s">
        <v>51</v>
      </c>
      <c r="B12" s="4" t="s">
        <v>52</v>
      </c>
      <c r="C12" s="4" t="s">
        <v>53</v>
      </c>
      <c r="D12" s="4" t="n">
        <f aca="false">COUNTIF('Test Cases'!$C$2:$C$200,A12)</f>
        <v>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6"/>
    <col collapsed="false" customWidth="true" hidden="false" outlineLevel="0" max="3" min="3" style="0" width="11"/>
    <col collapsed="false" customWidth="true" hidden="false" outlineLevel="0" max="4" min="4" style="0" width="38"/>
    <col collapsed="false" customWidth="true" hidden="false" outlineLevel="0" max="5" min="5" style="0" width="28"/>
    <col collapsed="false" customWidth="true" hidden="false" outlineLevel="0" max="6" min="6" style="0" width="52"/>
    <col collapsed="false" customWidth="true" hidden="false" outlineLevel="0" max="7" min="7" style="0" width="38"/>
    <col collapsed="false" customWidth="true" hidden="false" outlineLevel="0" max="8" min="8" style="0" width="48"/>
    <col collapsed="false" customWidth="true" hidden="false" outlineLevel="0" max="9" min="9" style="0" width="11"/>
    <col collapsed="false" customWidth="true" hidden="false" outlineLevel="0" max="10" min="10" style="0" width="14"/>
    <col collapsed="false" customWidth="true" hidden="false" outlineLevel="0" max="11" min="11" style="0" width="9"/>
    <col collapsed="false" customWidth="true" hidden="false" outlineLevel="0" max="12" min="12" style="0" width="36"/>
    <col collapsed="false" customWidth="true" hidden="false" outlineLevel="0" max="13" min="13" style="0" width="11"/>
    <col collapsed="false" customWidth="true" hidden="false" outlineLevel="0" max="14" min="14" style="0" width="12"/>
    <col collapsed="false" customWidth="true" hidden="false" outlineLevel="0" max="15" min="15" style="0" width="13"/>
    <col collapsed="false" customWidth="true" hidden="false" outlineLevel="0" max="16" min="16" style="0" width="11"/>
  </cols>
  <sheetData>
    <row r="1" customFormat="false" ht="23.85" hidden="false" customHeight="false" outlineLevel="0" collapsed="false">
      <c r="A1" s="6" t="s">
        <v>54</v>
      </c>
      <c r="B1" s="6" t="s">
        <v>23</v>
      </c>
      <c r="C1" s="6" t="s">
        <v>22</v>
      </c>
      <c r="D1" s="6" t="s">
        <v>55</v>
      </c>
      <c r="E1" s="6" t="s">
        <v>56</v>
      </c>
      <c r="F1" s="6" t="s">
        <v>57</v>
      </c>
      <c r="G1" s="6" t="s">
        <v>58</v>
      </c>
      <c r="H1" s="6" t="s">
        <v>59</v>
      </c>
      <c r="I1" s="6" t="s">
        <v>60</v>
      </c>
      <c r="J1" s="6" t="s">
        <v>61</v>
      </c>
      <c r="K1" s="6" t="s">
        <v>62</v>
      </c>
      <c r="L1" s="6" t="s">
        <v>63</v>
      </c>
      <c r="M1" s="6" t="s">
        <v>64</v>
      </c>
      <c r="N1" s="6" t="s">
        <v>65</v>
      </c>
      <c r="O1" s="6" t="s">
        <v>66</v>
      </c>
      <c r="P1" s="6" t="s">
        <v>67</v>
      </c>
    </row>
    <row r="2" customFormat="false" ht="57.45" hidden="false" customHeight="false" outlineLevel="0" collapsed="false">
      <c r="A2" s="4" t="s">
        <v>68</v>
      </c>
      <c r="B2" s="4" t="s">
        <v>27</v>
      </c>
      <c r="C2" s="4" t="s">
        <v>26</v>
      </c>
      <c r="D2" s="4" t="s">
        <v>69</v>
      </c>
      <c r="E2" s="4" t="s">
        <v>70</v>
      </c>
      <c r="F2" s="4" t="s">
        <v>71</v>
      </c>
      <c r="G2" s="4" t="s">
        <v>72</v>
      </c>
      <c r="H2" s="4" t="s">
        <v>73</v>
      </c>
      <c r="I2" s="4" t="s">
        <v>74</v>
      </c>
      <c r="J2" s="4" t="s">
        <v>75</v>
      </c>
      <c r="K2" s="4" t="s">
        <v>76</v>
      </c>
      <c r="L2" s="7"/>
      <c r="M2" s="7" t="s">
        <v>77</v>
      </c>
      <c r="N2" s="7"/>
      <c r="O2" s="7"/>
      <c r="P2" s="7"/>
    </row>
    <row r="3" customFormat="false" ht="68.65" hidden="false" customHeight="false" outlineLevel="0" collapsed="false">
      <c r="A3" s="4" t="s">
        <v>78</v>
      </c>
      <c r="B3" s="4" t="s">
        <v>27</v>
      </c>
      <c r="C3" s="4" t="s">
        <v>26</v>
      </c>
      <c r="D3" s="4" t="s">
        <v>79</v>
      </c>
      <c r="E3" s="4" t="s">
        <v>70</v>
      </c>
      <c r="F3" s="4" t="s">
        <v>80</v>
      </c>
      <c r="G3" s="4" t="s">
        <v>81</v>
      </c>
      <c r="H3" s="4" t="s">
        <v>82</v>
      </c>
      <c r="I3" s="4" t="s">
        <v>74</v>
      </c>
      <c r="J3" s="4" t="s">
        <v>83</v>
      </c>
      <c r="K3" s="4" t="s">
        <v>84</v>
      </c>
      <c r="L3" s="7"/>
      <c r="M3" s="7" t="s">
        <v>77</v>
      </c>
      <c r="N3" s="7"/>
      <c r="O3" s="7"/>
      <c r="P3" s="7"/>
    </row>
    <row r="4" customFormat="false" ht="23.85" hidden="false" customHeight="false" outlineLevel="0" collapsed="false">
      <c r="A4" s="4" t="s">
        <v>85</v>
      </c>
      <c r="B4" s="4" t="s">
        <v>27</v>
      </c>
      <c r="C4" s="4" t="s">
        <v>29</v>
      </c>
      <c r="D4" s="4" t="s">
        <v>86</v>
      </c>
      <c r="E4" s="4" t="s">
        <v>87</v>
      </c>
      <c r="F4" s="4" t="s">
        <v>88</v>
      </c>
      <c r="G4" s="4" t="s">
        <v>89</v>
      </c>
      <c r="H4" s="4" t="s">
        <v>90</v>
      </c>
      <c r="I4" s="4" t="s">
        <v>91</v>
      </c>
      <c r="J4" s="4" t="s">
        <v>83</v>
      </c>
      <c r="K4" s="4" t="s">
        <v>76</v>
      </c>
      <c r="L4" s="7"/>
      <c r="M4" s="7" t="s">
        <v>77</v>
      </c>
      <c r="N4" s="7"/>
      <c r="O4" s="7"/>
      <c r="P4" s="7"/>
    </row>
    <row r="5" customFormat="false" ht="35.05" hidden="false" customHeight="false" outlineLevel="0" collapsed="false">
      <c r="A5" s="4" t="s">
        <v>92</v>
      </c>
      <c r="B5" s="4" t="s">
        <v>27</v>
      </c>
      <c r="C5" s="4" t="s">
        <v>29</v>
      </c>
      <c r="D5" s="4" t="s">
        <v>93</v>
      </c>
      <c r="E5" s="4" t="s">
        <v>87</v>
      </c>
      <c r="F5" s="4" t="s">
        <v>94</v>
      </c>
      <c r="G5" s="4" t="s">
        <v>95</v>
      </c>
      <c r="H5" s="4" t="s">
        <v>96</v>
      </c>
      <c r="I5" s="4" t="s">
        <v>91</v>
      </c>
      <c r="J5" s="4" t="s">
        <v>83</v>
      </c>
      <c r="K5" s="4" t="s">
        <v>76</v>
      </c>
      <c r="L5" s="7"/>
      <c r="M5" s="7" t="s">
        <v>77</v>
      </c>
      <c r="N5" s="7"/>
      <c r="O5" s="7"/>
      <c r="P5" s="7"/>
    </row>
    <row r="6" customFormat="false" ht="35.05" hidden="false" customHeight="false" outlineLevel="0" collapsed="false">
      <c r="A6" s="4" t="s">
        <v>97</v>
      </c>
      <c r="B6" s="4" t="s">
        <v>27</v>
      </c>
      <c r="C6" s="4" t="s">
        <v>29</v>
      </c>
      <c r="D6" s="4" t="s">
        <v>98</v>
      </c>
      <c r="E6" s="4" t="s">
        <v>87</v>
      </c>
      <c r="F6" s="4" t="s">
        <v>99</v>
      </c>
      <c r="G6" s="4" t="s">
        <v>100</v>
      </c>
      <c r="H6" s="4" t="s">
        <v>101</v>
      </c>
      <c r="I6" s="4" t="s">
        <v>91</v>
      </c>
      <c r="J6" s="4" t="s">
        <v>83</v>
      </c>
      <c r="K6" s="4" t="s">
        <v>76</v>
      </c>
      <c r="L6" s="7"/>
      <c r="M6" s="7" t="s">
        <v>77</v>
      </c>
      <c r="N6" s="7"/>
      <c r="O6" s="7"/>
      <c r="P6" s="7"/>
    </row>
    <row r="7" customFormat="false" ht="46.25" hidden="false" customHeight="false" outlineLevel="0" collapsed="false">
      <c r="A7" s="4" t="s">
        <v>102</v>
      </c>
      <c r="B7" s="4" t="s">
        <v>27</v>
      </c>
      <c r="C7" s="4" t="s">
        <v>29</v>
      </c>
      <c r="D7" s="4" t="s">
        <v>103</v>
      </c>
      <c r="E7" s="4" t="s">
        <v>87</v>
      </c>
      <c r="F7" s="4" t="s">
        <v>104</v>
      </c>
      <c r="G7" s="4" t="s">
        <v>105</v>
      </c>
      <c r="H7" s="4" t="s">
        <v>106</v>
      </c>
      <c r="I7" s="4" t="s">
        <v>91</v>
      </c>
      <c r="J7" s="4" t="s">
        <v>83</v>
      </c>
      <c r="K7" s="4" t="s">
        <v>76</v>
      </c>
      <c r="L7" s="7"/>
      <c r="M7" s="7" t="s">
        <v>77</v>
      </c>
      <c r="N7" s="7"/>
      <c r="O7" s="7"/>
      <c r="P7" s="7"/>
    </row>
    <row r="8" customFormat="false" ht="35.05" hidden="false" customHeight="false" outlineLevel="0" collapsed="false">
      <c r="A8" s="4" t="s">
        <v>107</v>
      </c>
      <c r="B8" s="4" t="s">
        <v>27</v>
      </c>
      <c r="C8" s="4" t="s">
        <v>29</v>
      </c>
      <c r="D8" s="4" t="s">
        <v>108</v>
      </c>
      <c r="E8" s="4" t="s">
        <v>109</v>
      </c>
      <c r="F8" s="4" t="s">
        <v>110</v>
      </c>
      <c r="G8" s="4" t="s">
        <v>111</v>
      </c>
      <c r="H8" s="4" t="s">
        <v>112</v>
      </c>
      <c r="I8" s="4" t="s">
        <v>91</v>
      </c>
      <c r="J8" s="4" t="s">
        <v>75</v>
      </c>
      <c r="K8" s="4" t="s">
        <v>76</v>
      </c>
      <c r="L8" s="7"/>
      <c r="M8" s="7" t="s">
        <v>77</v>
      </c>
      <c r="N8" s="7"/>
      <c r="O8" s="7"/>
      <c r="P8" s="7"/>
    </row>
    <row r="9" customFormat="false" ht="35.05" hidden="false" customHeight="false" outlineLevel="0" collapsed="false">
      <c r="A9" s="4" t="s">
        <v>113</v>
      </c>
      <c r="B9" s="4" t="s">
        <v>27</v>
      </c>
      <c r="C9" s="4" t="s">
        <v>29</v>
      </c>
      <c r="D9" s="4" t="s">
        <v>114</v>
      </c>
      <c r="E9" s="4" t="s">
        <v>115</v>
      </c>
      <c r="F9" s="4" t="s">
        <v>116</v>
      </c>
      <c r="G9" s="4" t="s">
        <v>117</v>
      </c>
      <c r="H9" s="4" t="s">
        <v>118</v>
      </c>
      <c r="I9" s="4" t="s">
        <v>91</v>
      </c>
      <c r="J9" s="4" t="s">
        <v>83</v>
      </c>
      <c r="K9" s="4" t="s">
        <v>76</v>
      </c>
      <c r="L9" s="7"/>
      <c r="M9" s="7" t="s">
        <v>77</v>
      </c>
      <c r="N9" s="7"/>
      <c r="O9" s="7"/>
      <c r="P9" s="7"/>
    </row>
    <row r="10" customFormat="false" ht="46.25" hidden="false" customHeight="false" outlineLevel="0" collapsed="false">
      <c r="A10" s="4" t="s">
        <v>119</v>
      </c>
      <c r="B10" s="4" t="s">
        <v>27</v>
      </c>
      <c r="C10" s="4" t="s">
        <v>29</v>
      </c>
      <c r="D10" s="4" t="s">
        <v>120</v>
      </c>
      <c r="E10" s="4" t="s">
        <v>121</v>
      </c>
      <c r="F10" s="4" t="s">
        <v>122</v>
      </c>
      <c r="G10" s="4" t="s">
        <v>123</v>
      </c>
      <c r="H10" s="4" t="s">
        <v>124</v>
      </c>
      <c r="I10" s="4" t="s">
        <v>125</v>
      </c>
      <c r="J10" s="4" t="s">
        <v>126</v>
      </c>
      <c r="K10" s="4" t="s">
        <v>84</v>
      </c>
      <c r="L10" s="7"/>
      <c r="M10" s="7" t="s">
        <v>77</v>
      </c>
      <c r="N10" s="7"/>
      <c r="O10" s="7"/>
      <c r="P10" s="7"/>
    </row>
    <row r="11" customFormat="false" ht="35.05" hidden="false" customHeight="false" outlineLevel="0" collapsed="false">
      <c r="A11" s="4" t="s">
        <v>127</v>
      </c>
      <c r="B11" s="4" t="s">
        <v>27</v>
      </c>
      <c r="C11" s="4" t="s">
        <v>29</v>
      </c>
      <c r="D11" s="4" t="s">
        <v>128</v>
      </c>
      <c r="E11" s="4" t="s">
        <v>121</v>
      </c>
      <c r="F11" s="4" t="s">
        <v>129</v>
      </c>
      <c r="G11" s="4" t="s">
        <v>130</v>
      </c>
      <c r="H11" s="4" t="s">
        <v>131</v>
      </c>
      <c r="I11" s="4" t="s">
        <v>91</v>
      </c>
      <c r="J11" s="4" t="s">
        <v>83</v>
      </c>
      <c r="K11" s="4" t="s">
        <v>84</v>
      </c>
      <c r="L11" s="7"/>
      <c r="M11" s="7" t="s">
        <v>77</v>
      </c>
      <c r="N11" s="7"/>
      <c r="O11" s="7"/>
      <c r="P11" s="7"/>
    </row>
    <row r="12" customFormat="false" ht="46.25" hidden="false" customHeight="false" outlineLevel="0" collapsed="false">
      <c r="A12" s="4" t="s">
        <v>132</v>
      </c>
      <c r="B12" s="4" t="s">
        <v>27</v>
      </c>
      <c r="C12" s="4" t="s">
        <v>29</v>
      </c>
      <c r="D12" s="4" t="s">
        <v>133</v>
      </c>
      <c r="E12" s="4" t="s">
        <v>87</v>
      </c>
      <c r="F12" s="4" t="s">
        <v>134</v>
      </c>
      <c r="G12" s="4" t="s">
        <v>135</v>
      </c>
      <c r="H12" s="4" t="s">
        <v>136</v>
      </c>
      <c r="I12" s="4" t="s">
        <v>91</v>
      </c>
      <c r="J12" s="4" t="s">
        <v>83</v>
      </c>
      <c r="K12" s="4" t="s">
        <v>137</v>
      </c>
      <c r="L12" s="7"/>
      <c r="M12" s="7" t="s">
        <v>77</v>
      </c>
      <c r="N12" s="7"/>
      <c r="O12" s="7"/>
      <c r="P12" s="7"/>
    </row>
    <row r="13" customFormat="false" ht="46.25" hidden="false" customHeight="false" outlineLevel="0" collapsed="false">
      <c r="A13" s="4" t="s">
        <v>138</v>
      </c>
      <c r="B13" s="4" t="s">
        <v>32</v>
      </c>
      <c r="C13" s="4" t="s">
        <v>31</v>
      </c>
      <c r="D13" s="4" t="s">
        <v>139</v>
      </c>
      <c r="E13" s="4" t="s">
        <v>140</v>
      </c>
      <c r="F13" s="4" t="s">
        <v>141</v>
      </c>
      <c r="G13" s="4" t="s">
        <v>142</v>
      </c>
      <c r="H13" s="4" t="s">
        <v>143</v>
      </c>
      <c r="I13" s="4" t="s">
        <v>74</v>
      </c>
      <c r="J13" s="4" t="s">
        <v>75</v>
      </c>
      <c r="K13" s="4" t="s">
        <v>76</v>
      </c>
      <c r="L13" s="7"/>
      <c r="M13" s="7" t="s">
        <v>77</v>
      </c>
      <c r="N13" s="7"/>
      <c r="O13" s="7"/>
      <c r="P13" s="7"/>
    </row>
    <row r="14" customFormat="false" ht="35.05" hidden="false" customHeight="false" outlineLevel="0" collapsed="false">
      <c r="A14" s="4" t="s">
        <v>144</v>
      </c>
      <c r="B14" s="4" t="s">
        <v>32</v>
      </c>
      <c r="C14" s="4" t="s">
        <v>34</v>
      </c>
      <c r="D14" s="4" t="s">
        <v>145</v>
      </c>
      <c r="E14" s="4" t="s">
        <v>146</v>
      </c>
      <c r="F14" s="4" t="s">
        <v>147</v>
      </c>
      <c r="G14" s="4" t="s">
        <v>148</v>
      </c>
      <c r="H14" s="4" t="s">
        <v>149</v>
      </c>
      <c r="I14" s="4" t="s">
        <v>91</v>
      </c>
      <c r="J14" s="4" t="s">
        <v>83</v>
      </c>
      <c r="K14" s="4" t="s">
        <v>76</v>
      </c>
      <c r="L14" s="7"/>
      <c r="M14" s="7" t="s">
        <v>77</v>
      </c>
      <c r="N14" s="7"/>
      <c r="O14" s="7"/>
      <c r="P14" s="7"/>
    </row>
    <row r="15" customFormat="false" ht="35.05" hidden="false" customHeight="false" outlineLevel="0" collapsed="false">
      <c r="A15" s="4" t="s">
        <v>150</v>
      </c>
      <c r="B15" s="4" t="s">
        <v>32</v>
      </c>
      <c r="C15" s="4" t="s">
        <v>34</v>
      </c>
      <c r="D15" s="4" t="s">
        <v>151</v>
      </c>
      <c r="E15" s="4" t="s">
        <v>152</v>
      </c>
      <c r="F15" s="4" t="s">
        <v>153</v>
      </c>
      <c r="G15" s="4" t="s">
        <v>154</v>
      </c>
      <c r="H15" s="4" t="s">
        <v>155</v>
      </c>
      <c r="I15" s="4" t="s">
        <v>91</v>
      </c>
      <c r="J15" s="4" t="s">
        <v>83</v>
      </c>
      <c r="K15" s="4" t="s">
        <v>76</v>
      </c>
      <c r="L15" s="7"/>
      <c r="M15" s="7" t="s">
        <v>77</v>
      </c>
      <c r="N15" s="7"/>
      <c r="O15" s="7"/>
      <c r="P15" s="7"/>
    </row>
    <row r="16" customFormat="false" ht="23.85" hidden="false" customHeight="false" outlineLevel="0" collapsed="false">
      <c r="A16" s="4" t="s">
        <v>156</v>
      </c>
      <c r="B16" s="4" t="s">
        <v>32</v>
      </c>
      <c r="C16" s="4" t="s">
        <v>34</v>
      </c>
      <c r="D16" s="4" t="s">
        <v>157</v>
      </c>
      <c r="E16" s="4" t="s">
        <v>158</v>
      </c>
      <c r="F16" s="4" t="s">
        <v>159</v>
      </c>
      <c r="G16" s="4" t="s">
        <v>160</v>
      </c>
      <c r="H16" s="4" t="s">
        <v>161</v>
      </c>
      <c r="I16" s="4" t="s">
        <v>91</v>
      </c>
      <c r="J16" s="4" t="s">
        <v>83</v>
      </c>
      <c r="K16" s="4" t="s">
        <v>76</v>
      </c>
      <c r="L16" s="7"/>
      <c r="M16" s="7" t="s">
        <v>77</v>
      </c>
      <c r="N16" s="7"/>
      <c r="O16" s="7"/>
      <c r="P16" s="7"/>
    </row>
    <row r="17" customFormat="false" ht="35.05" hidden="false" customHeight="false" outlineLevel="0" collapsed="false">
      <c r="A17" s="4" t="s">
        <v>162</v>
      </c>
      <c r="B17" s="4" t="s">
        <v>32</v>
      </c>
      <c r="C17" s="4" t="s">
        <v>34</v>
      </c>
      <c r="D17" s="4" t="s">
        <v>163</v>
      </c>
      <c r="E17" s="4" t="s">
        <v>158</v>
      </c>
      <c r="F17" s="4" t="s">
        <v>164</v>
      </c>
      <c r="G17" s="4" t="s">
        <v>165</v>
      </c>
      <c r="H17" s="4" t="s">
        <v>166</v>
      </c>
      <c r="I17" s="4" t="s">
        <v>91</v>
      </c>
      <c r="J17" s="4" t="s">
        <v>83</v>
      </c>
      <c r="K17" s="4" t="s">
        <v>84</v>
      </c>
      <c r="L17" s="7"/>
      <c r="M17" s="7" t="s">
        <v>77</v>
      </c>
      <c r="N17" s="7"/>
      <c r="O17" s="7"/>
      <c r="P17" s="7"/>
    </row>
    <row r="18" customFormat="false" ht="35.05" hidden="false" customHeight="false" outlineLevel="0" collapsed="false">
      <c r="A18" s="4" t="s">
        <v>167</v>
      </c>
      <c r="B18" s="4" t="s">
        <v>32</v>
      </c>
      <c r="C18" s="4" t="s">
        <v>34</v>
      </c>
      <c r="D18" s="4" t="s">
        <v>168</v>
      </c>
      <c r="E18" s="4" t="s">
        <v>158</v>
      </c>
      <c r="F18" s="4" t="s">
        <v>169</v>
      </c>
      <c r="G18" s="4" t="s">
        <v>170</v>
      </c>
      <c r="H18" s="4" t="s">
        <v>171</v>
      </c>
      <c r="I18" s="4" t="s">
        <v>91</v>
      </c>
      <c r="J18" s="4" t="s">
        <v>83</v>
      </c>
      <c r="K18" s="4" t="s">
        <v>84</v>
      </c>
      <c r="L18" s="7"/>
      <c r="M18" s="7" t="s">
        <v>77</v>
      </c>
      <c r="N18" s="7"/>
      <c r="O18" s="7"/>
      <c r="P18" s="7"/>
    </row>
    <row r="19" customFormat="false" ht="35.05" hidden="false" customHeight="false" outlineLevel="0" collapsed="false">
      <c r="A19" s="4" t="s">
        <v>172</v>
      </c>
      <c r="B19" s="4" t="s">
        <v>32</v>
      </c>
      <c r="C19" s="4" t="s">
        <v>34</v>
      </c>
      <c r="D19" s="4" t="s">
        <v>173</v>
      </c>
      <c r="E19" s="4" t="s">
        <v>146</v>
      </c>
      <c r="F19" s="4" t="s">
        <v>174</v>
      </c>
      <c r="G19" s="4" t="s">
        <v>175</v>
      </c>
      <c r="H19" s="4" t="s">
        <v>176</v>
      </c>
      <c r="I19" s="4" t="s">
        <v>91</v>
      </c>
      <c r="J19" s="4" t="s">
        <v>75</v>
      </c>
      <c r="K19" s="4" t="s">
        <v>137</v>
      </c>
      <c r="L19" s="7"/>
      <c r="M19" s="7" t="s">
        <v>77</v>
      </c>
      <c r="N19" s="7"/>
      <c r="O19" s="7"/>
      <c r="P19" s="7"/>
    </row>
    <row r="20" customFormat="false" ht="35.05" hidden="false" customHeight="false" outlineLevel="0" collapsed="false">
      <c r="A20" s="4" t="s">
        <v>177</v>
      </c>
      <c r="B20" s="4" t="s">
        <v>32</v>
      </c>
      <c r="C20" s="4" t="s">
        <v>31</v>
      </c>
      <c r="D20" s="4" t="s">
        <v>178</v>
      </c>
      <c r="E20" s="4" t="s">
        <v>179</v>
      </c>
      <c r="F20" s="4" t="s">
        <v>180</v>
      </c>
      <c r="G20" s="4" t="s">
        <v>152</v>
      </c>
      <c r="H20" s="4" t="s">
        <v>181</v>
      </c>
      <c r="I20" s="4" t="s">
        <v>74</v>
      </c>
      <c r="J20" s="4" t="s">
        <v>75</v>
      </c>
      <c r="K20" s="4" t="s">
        <v>84</v>
      </c>
      <c r="L20" s="7"/>
      <c r="M20" s="7" t="s">
        <v>77</v>
      </c>
      <c r="N20" s="7"/>
      <c r="O20" s="7"/>
      <c r="P20" s="7"/>
    </row>
    <row r="21" customFormat="false" ht="35.05" hidden="false" customHeight="false" outlineLevel="0" collapsed="false">
      <c r="A21" s="4" t="s">
        <v>182</v>
      </c>
      <c r="B21" s="4" t="s">
        <v>32</v>
      </c>
      <c r="C21" s="4" t="s">
        <v>34</v>
      </c>
      <c r="D21" s="4" t="s">
        <v>183</v>
      </c>
      <c r="E21" s="4" t="s">
        <v>158</v>
      </c>
      <c r="F21" s="4" t="s">
        <v>184</v>
      </c>
      <c r="G21" s="4" t="s">
        <v>185</v>
      </c>
      <c r="H21" s="4" t="s">
        <v>186</v>
      </c>
      <c r="I21" s="4" t="s">
        <v>91</v>
      </c>
      <c r="J21" s="4" t="s">
        <v>75</v>
      </c>
      <c r="K21" s="4" t="s">
        <v>84</v>
      </c>
      <c r="L21" s="7"/>
      <c r="M21" s="7" t="s">
        <v>77</v>
      </c>
      <c r="N21" s="7"/>
      <c r="O21" s="7"/>
      <c r="P21" s="7"/>
    </row>
    <row r="22" customFormat="false" ht="35.05" hidden="false" customHeight="false" outlineLevel="0" collapsed="false">
      <c r="A22" s="4" t="s">
        <v>187</v>
      </c>
      <c r="B22" s="4" t="s">
        <v>37</v>
      </c>
      <c r="C22" s="4" t="s">
        <v>36</v>
      </c>
      <c r="D22" s="4" t="s">
        <v>188</v>
      </c>
      <c r="E22" s="4" t="s">
        <v>189</v>
      </c>
      <c r="F22" s="4" t="s">
        <v>190</v>
      </c>
      <c r="G22" s="4" t="s">
        <v>191</v>
      </c>
      <c r="H22" s="4" t="s">
        <v>192</v>
      </c>
      <c r="I22" s="4" t="s">
        <v>74</v>
      </c>
      <c r="J22" s="4" t="s">
        <v>75</v>
      </c>
      <c r="K22" s="4" t="s">
        <v>76</v>
      </c>
      <c r="L22" s="7"/>
      <c r="M22" s="7" t="s">
        <v>77</v>
      </c>
      <c r="N22" s="7"/>
      <c r="O22" s="7"/>
      <c r="P22" s="7"/>
    </row>
    <row r="23" customFormat="false" ht="23.85" hidden="false" customHeight="false" outlineLevel="0" collapsed="false">
      <c r="A23" s="4" t="s">
        <v>193</v>
      </c>
      <c r="B23" s="4" t="s">
        <v>37</v>
      </c>
      <c r="C23" s="4" t="s">
        <v>36</v>
      </c>
      <c r="D23" s="4" t="s">
        <v>194</v>
      </c>
      <c r="E23" s="4" t="s">
        <v>189</v>
      </c>
      <c r="F23" s="4" t="s">
        <v>195</v>
      </c>
      <c r="G23" s="4" t="s">
        <v>196</v>
      </c>
      <c r="H23" s="4" t="s">
        <v>197</v>
      </c>
      <c r="I23" s="4" t="s">
        <v>74</v>
      </c>
      <c r="J23" s="4" t="s">
        <v>75</v>
      </c>
      <c r="K23" s="4" t="s">
        <v>76</v>
      </c>
      <c r="L23" s="7"/>
      <c r="M23" s="7" t="s">
        <v>77</v>
      </c>
      <c r="N23" s="7"/>
      <c r="O23" s="7"/>
      <c r="P23" s="7"/>
    </row>
    <row r="24" customFormat="false" ht="35.05" hidden="false" customHeight="false" outlineLevel="0" collapsed="false">
      <c r="A24" s="4" t="s">
        <v>198</v>
      </c>
      <c r="B24" s="4" t="s">
        <v>37</v>
      </c>
      <c r="C24" s="4" t="s">
        <v>36</v>
      </c>
      <c r="D24" s="4" t="s">
        <v>199</v>
      </c>
      <c r="E24" s="4" t="s">
        <v>189</v>
      </c>
      <c r="F24" s="4" t="s">
        <v>200</v>
      </c>
      <c r="G24" s="4" t="s">
        <v>201</v>
      </c>
      <c r="H24" s="4" t="s">
        <v>202</v>
      </c>
      <c r="I24" s="4" t="s">
        <v>74</v>
      </c>
      <c r="J24" s="4" t="s">
        <v>83</v>
      </c>
      <c r="K24" s="4" t="s">
        <v>84</v>
      </c>
      <c r="L24" s="7"/>
      <c r="M24" s="7" t="s">
        <v>77</v>
      </c>
      <c r="N24" s="7"/>
      <c r="O24" s="7"/>
      <c r="P24" s="7"/>
    </row>
    <row r="25" customFormat="false" ht="23.85" hidden="false" customHeight="false" outlineLevel="0" collapsed="false">
      <c r="A25" s="4" t="s">
        <v>203</v>
      </c>
      <c r="B25" s="4" t="s">
        <v>37</v>
      </c>
      <c r="C25" s="4" t="s">
        <v>39</v>
      </c>
      <c r="D25" s="4" t="s">
        <v>204</v>
      </c>
      <c r="E25" s="4" t="s">
        <v>189</v>
      </c>
      <c r="F25" s="4" t="s">
        <v>205</v>
      </c>
      <c r="G25" s="4" t="s">
        <v>206</v>
      </c>
      <c r="H25" s="4" t="s">
        <v>207</v>
      </c>
      <c r="I25" s="4" t="s">
        <v>91</v>
      </c>
      <c r="J25" s="4" t="s">
        <v>83</v>
      </c>
      <c r="K25" s="4" t="s">
        <v>76</v>
      </c>
      <c r="L25" s="7"/>
      <c r="M25" s="7" t="s">
        <v>77</v>
      </c>
      <c r="N25" s="7"/>
      <c r="O25" s="7"/>
      <c r="P25" s="7"/>
    </row>
    <row r="26" customFormat="false" ht="23.85" hidden="false" customHeight="false" outlineLevel="0" collapsed="false">
      <c r="A26" s="4" t="s">
        <v>208</v>
      </c>
      <c r="B26" s="4" t="s">
        <v>37</v>
      </c>
      <c r="C26" s="4" t="s">
        <v>39</v>
      </c>
      <c r="D26" s="4" t="s">
        <v>209</v>
      </c>
      <c r="E26" s="4" t="s">
        <v>189</v>
      </c>
      <c r="F26" s="4" t="s">
        <v>210</v>
      </c>
      <c r="G26" s="4" t="s">
        <v>211</v>
      </c>
      <c r="H26" s="4" t="s">
        <v>212</v>
      </c>
      <c r="I26" s="4" t="s">
        <v>91</v>
      </c>
      <c r="J26" s="4" t="s">
        <v>83</v>
      </c>
      <c r="K26" s="4" t="s">
        <v>84</v>
      </c>
      <c r="L26" s="7"/>
      <c r="M26" s="7" t="s">
        <v>77</v>
      </c>
      <c r="N26" s="7"/>
      <c r="O26" s="7"/>
      <c r="P26" s="7"/>
    </row>
    <row r="27" customFormat="false" ht="23.85" hidden="false" customHeight="false" outlineLevel="0" collapsed="false">
      <c r="A27" s="4" t="s">
        <v>213</v>
      </c>
      <c r="B27" s="4" t="s">
        <v>37</v>
      </c>
      <c r="C27" s="4" t="s">
        <v>39</v>
      </c>
      <c r="D27" s="4" t="s">
        <v>214</v>
      </c>
      <c r="E27" s="4" t="s">
        <v>189</v>
      </c>
      <c r="F27" s="4" t="s">
        <v>215</v>
      </c>
      <c r="G27" s="4" t="s">
        <v>216</v>
      </c>
      <c r="H27" s="4" t="s">
        <v>217</v>
      </c>
      <c r="I27" s="4" t="s">
        <v>91</v>
      </c>
      <c r="J27" s="4" t="s">
        <v>83</v>
      </c>
      <c r="K27" s="4" t="s">
        <v>84</v>
      </c>
      <c r="L27" s="7"/>
      <c r="M27" s="7" t="s">
        <v>77</v>
      </c>
      <c r="N27" s="7"/>
      <c r="O27" s="7"/>
      <c r="P27" s="7"/>
    </row>
    <row r="28" customFormat="false" ht="23.85" hidden="false" customHeight="false" outlineLevel="0" collapsed="false">
      <c r="A28" s="4" t="s">
        <v>218</v>
      </c>
      <c r="B28" s="4" t="s">
        <v>37</v>
      </c>
      <c r="C28" s="4" t="s">
        <v>39</v>
      </c>
      <c r="D28" s="4" t="s">
        <v>219</v>
      </c>
      <c r="E28" s="4" t="s">
        <v>189</v>
      </c>
      <c r="F28" s="4" t="s">
        <v>220</v>
      </c>
      <c r="G28" s="4" t="s">
        <v>221</v>
      </c>
      <c r="H28" s="4" t="s">
        <v>222</v>
      </c>
      <c r="I28" s="4" t="s">
        <v>125</v>
      </c>
      <c r="J28" s="4" t="s">
        <v>126</v>
      </c>
      <c r="K28" s="4" t="s">
        <v>137</v>
      </c>
      <c r="L28" s="7"/>
      <c r="M28" s="7" t="s">
        <v>77</v>
      </c>
      <c r="N28" s="7"/>
      <c r="O28" s="7"/>
      <c r="P28" s="7"/>
    </row>
    <row r="29" customFormat="false" ht="35.05" hidden="false" customHeight="false" outlineLevel="0" collapsed="false">
      <c r="A29" s="4" t="s">
        <v>223</v>
      </c>
      <c r="B29" s="4" t="s">
        <v>37</v>
      </c>
      <c r="C29" s="4" t="s">
        <v>36</v>
      </c>
      <c r="D29" s="4" t="s">
        <v>224</v>
      </c>
      <c r="E29" s="4" t="s">
        <v>225</v>
      </c>
      <c r="F29" s="4" t="s">
        <v>226</v>
      </c>
      <c r="G29" s="4" t="s">
        <v>196</v>
      </c>
      <c r="H29" s="4" t="s">
        <v>227</v>
      </c>
      <c r="I29" s="4" t="s">
        <v>74</v>
      </c>
      <c r="J29" s="4" t="s">
        <v>75</v>
      </c>
      <c r="K29" s="4" t="s">
        <v>76</v>
      </c>
      <c r="L29" s="7"/>
      <c r="M29" s="7" t="s">
        <v>77</v>
      </c>
      <c r="N29" s="7"/>
      <c r="O29" s="7"/>
      <c r="P29" s="7"/>
    </row>
    <row r="30" customFormat="false" ht="35.05" hidden="false" customHeight="false" outlineLevel="0" collapsed="false">
      <c r="A30" s="4" t="s">
        <v>228</v>
      </c>
      <c r="B30" s="4" t="s">
        <v>42</v>
      </c>
      <c r="C30" s="4" t="s">
        <v>41</v>
      </c>
      <c r="D30" s="4" t="s">
        <v>229</v>
      </c>
      <c r="E30" s="4" t="s">
        <v>189</v>
      </c>
      <c r="F30" s="4" t="s">
        <v>230</v>
      </c>
      <c r="G30" s="4" t="s">
        <v>231</v>
      </c>
      <c r="H30" s="4" t="s">
        <v>232</v>
      </c>
      <c r="I30" s="4" t="s">
        <v>74</v>
      </c>
      <c r="J30" s="4" t="s">
        <v>75</v>
      </c>
      <c r="K30" s="4" t="s">
        <v>76</v>
      </c>
      <c r="L30" s="7"/>
      <c r="M30" s="7" t="s">
        <v>77</v>
      </c>
      <c r="N30" s="7"/>
      <c r="O30" s="7"/>
      <c r="P30" s="7"/>
    </row>
    <row r="31" customFormat="false" ht="46.25" hidden="false" customHeight="false" outlineLevel="0" collapsed="false">
      <c r="A31" s="4" t="s">
        <v>233</v>
      </c>
      <c r="B31" s="4" t="s">
        <v>42</v>
      </c>
      <c r="C31" s="4" t="s">
        <v>41</v>
      </c>
      <c r="D31" s="4" t="s">
        <v>234</v>
      </c>
      <c r="E31" s="4" t="s">
        <v>189</v>
      </c>
      <c r="F31" s="4" t="s">
        <v>235</v>
      </c>
      <c r="G31" s="4" t="s">
        <v>231</v>
      </c>
      <c r="H31" s="4" t="s">
        <v>236</v>
      </c>
      <c r="I31" s="4" t="s">
        <v>74</v>
      </c>
      <c r="J31" s="4" t="s">
        <v>75</v>
      </c>
      <c r="K31" s="4" t="s">
        <v>76</v>
      </c>
      <c r="L31" s="7"/>
      <c r="M31" s="7" t="s">
        <v>77</v>
      </c>
      <c r="N31" s="7"/>
      <c r="O31" s="7"/>
      <c r="P31" s="7"/>
    </row>
    <row r="32" customFormat="false" ht="46.25" hidden="false" customHeight="false" outlineLevel="0" collapsed="false">
      <c r="A32" s="4" t="s">
        <v>237</v>
      </c>
      <c r="B32" s="4" t="s">
        <v>42</v>
      </c>
      <c r="C32" s="4" t="s">
        <v>41</v>
      </c>
      <c r="D32" s="4" t="s">
        <v>238</v>
      </c>
      <c r="E32" s="4" t="s">
        <v>189</v>
      </c>
      <c r="F32" s="4" t="s">
        <v>239</v>
      </c>
      <c r="G32" s="4" t="s">
        <v>240</v>
      </c>
      <c r="H32" s="4" t="s">
        <v>241</v>
      </c>
      <c r="I32" s="4" t="s">
        <v>74</v>
      </c>
      <c r="J32" s="4" t="s">
        <v>75</v>
      </c>
      <c r="K32" s="4" t="s">
        <v>76</v>
      </c>
      <c r="L32" s="7"/>
      <c r="M32" s="7" t="s">
        <v>77</v>
      </c>
      <c r="N32" s="7"/>
      <c r="O32" s="7"/>
      <c r="P32" s="7"/>
    </row>
    <row r="33" customFormat="false" ht="46.25" hidden="false" customHeight="false" outlineLevel="0" collapsed="false">
      <c r="A33" s="4" t="s">
        <v>242</v>
      </c>
      <c r="B33" s="4" t="s">
        <v>42</v>
      </c>
      <c r="C33" s="4" t="s">
        <v>41</v>
      </c>
      <c r="D33" s="4" t="s">
        <v>243</v>
      </c>
      <c r="E33" s="4" t="s">
        <v>244</v>
      </c>
      <c r="F33" s="4" t="s">
        <v>245</v>
      </c>
      <c r="G33" s="4" t="s">
        <v>246</v>
      </c>
      <c r="H33" s="4" t="s">
        <v>247</v>
      </c>
      <c r="I33" s="4" t="s">
        <v>74</v>
      </c>
      <c r="J33" s="4" t="s">
        <v>126</v>
      </c>
      <c r="K33" s="4" t="s">
        <v>76</v>
      </c>
      <c r="L33" s="7"/>
      <c r="M33" s="7" t="s">
        <v>77</v>
      </c>
      <c r="N33" s="7"/>
      <c r="O33" s="7"/>
      <c r="P33" s="7"/>
    </row>
    <row r="34" customFormat="false" ht="46.25" hidden="false" customHeight="false" outlineLevel="0" collapsed="false">
      <c r="A34" s="4" t="s">
        <v>248</v>
      </c>
      <c r="B34" s="4" t="s">
        <v>42</v>
      </c>
      <c r="C34" s="4" t="s">
        <v>41</v>
      </c>
      <c r="D34" s="4" t="s">
        <v>249</v>
      </c>
      <c r="E34" s="4" t="s">
        <v>244</v>
      </c>
      <c r="F34" s="4" t="s">
        <v>250</v>
      </c>
      <c r="G34" s="4" t="s">
        <v>251</v>
      </c>
      <c r="H34" s="4" t="s">
        <v>252</v>
      </c>
      <c r="I34" s="4" t="s">
        <v>125</v>
      </c>
      <c r="J34" s="4" t="s">
        <v>126</v>
      </c>
      <c r="K34" s="4" t="s">
        <v>76</v>
      </c>
      <c r="L34" s="7"/>
      <c r="M34" s="7" t="s">
        <v>77</v>
      </c>
      <c r="N34" s="7"/>
      <c r="O34" s="7"/>
      <c r="P34" s="7"/>
    </row>
    <row r="35" customFormat="false" ht="23.85" hidden="false" customHeight="false" outlineLevel="0" collapsed="false">
      <c r="A35" s="4" t="s">
        <v>253</v>
      </c>
      <c r="B35" s="4" t="s">
        <v>42</v>
      </c>
      <c r="C35" s="4" t="s">
        <v>44</v>
      </c>
      <c r="D35" s="4" t="s">
        <v>254</v>
      </c>
      <c r="E35" s="4" t="s">
        <v>255</v>
      </c>
      <c r="F35" s="4" t="s">
        <v>256</v>
      </c>
      <c r="G35" s="4" t="s">
        <v>257</v>
      </c>
      <c r="H35" s="4" t="s">
        <v>258</v>
      </c>
      <c r="I35" s="4" t="s">
        <v>74</v>
      </c>
      <c r="J35" s="4" t="s">
        <v>75</v>
      </c>
      <c r="K35" s="4" t="s">
        <v>76</v>
      </c>
      <c r="L35" s="7"/>
      <c r="M35" s="7" t="s">
        <v>77</v>
      </c>
      <c r="N35" s="7"/>
      <c r="O35" s="7"/>
      <c r="P35" s="7"/>
    </row>
    <row r="36" customFormat="false" ht="23.85" hidden="false" customHeight="false" outlineLevel="0" collapsed="false">
      <c r="A36" s="4" t="s">
        <v>259</v>
      </c>
      <c r="B36" s="4" t="s">
        <v>42</v>
      </c>
      <c r="C36" s="4" t="s">
        <v>44</v>
      </c>
      <c r="D36" s="4" t="s">
        <v>260</v>
      </c>
      <c r="E36" s="4" t="s">
        <v>261</v>
      </c>
      <c r="F36" s="4" t="s">
        <v>262</v>
      </c>
      <c r="G36" s="4" t="s">
        <v>263</v>
      </c>
      <c r="H36" s="4" t="s">
        <v>264</v>
      </c>
      <c r="I36" s="4" t="s">
        <v>74</v>
      </c>
      <c r="J36" s="4" t="s">
        <v>75</v>
      </c>
      <c r="K36" s="4" t="s">
        <v>84</v>
      </c>
      <c r="L36" s="7"/>
      <c r="M36" s="7" t="s">
        <v>77</v>
      </c>
      <c r="N36" s="7"/>
      <c r="O36" s="7"/>
      <c r="P36" s="7"/>
    </row>
    <row r="37" customFormat="false" ht="23.85" hidden="false" customHeight="false" outlineLevel="0" collapsed="false">
      <c r="A37" s="4" t="s">
        <v>265</v>
      </c>
      <c r="B37" s="4" t="s">
        <v>42</v>
      </c>
      <c r="C37" s="4" t="s">
        <v>44</v>
      </c>
      <c r="D37" s="4" t="s">
        <v>266</v>
      </c>
      <c r="E37" s="4" t="s">
        <v>267</v>
      </c>
      <c r="F37" s="4" t="s">
        <v>268</v>
      </c>
      <c r="G37" s="4" t="s">
        <v>269</v>
      </c>
      <c r="H37" s="4" t="s">
        <v>270</v>
      </c>
      <c r="I37" s="4" t="s">
        <v>74</v>
      </c>
      <c r="J37" s="4" t="s">
        <v>75</v>
      </c>
      <c r="K37" s="4" t="s">
        <v>84</v>
      </c>
      <c r="L37" s="7"/>
      <c r="M37" s="7" t="s">
        <v>77</v>
      </c>
      <c r="N37" s="7"/>
      <c r="O37" s="7"/>
      <c r="P37" s="7"/>
    </row>
    <row r="38" customFormat="false" ht="35.05" hidden="false" customHeight="false" outlineLevel="0" collapsed="false">
      <c r="A38" s="4" t="s">
        <v>271</v>
      </c>
      <c r="B38" s="4" t="s">
        <v>42</v>
      </c>
      <c r="C38" s="4" t="s">
        <v>44</v>
      </c>
      <c r="D38" s="4" t="s">
        <v>272</v>
      </c>
      <c r="E38" s="4" t="s">
        <v>273</v>
      </c>
      <c r="F38" s="4" t="s">
        <v>274</v>
      </c>
      <c r="G38" s="4" t="s">
        <v>231</v>
      </c>
      <c r="H38" s="4" t="s">
        <v>275</v>
      </c>
      <c r="I38" s="4" t="s">
        <v>74</v>
      </c>
      <c r="J38" s="4" t="s">
        <v>75</v>
      </c>
      <c r="K38" s="4" t="s">
        <v>84</v>
      </c>
      <c r="L38" s="7"/>
      <c r="M38" s="7" t="s">
        <v>77</v>
      </c>
      <c r="N38" s="7"/>
      <c r="O38" s="7"/>
      <c r="P38" s="7"/>
    </row>
    <row r="39" customFormat="false" ht="23.85" hidden="false" customHeight="false" outlineLevel="0" collapsed="false">
      <c r="A39" s="4" t="s">
        <v>276</v>
      </c>
      <c r="B39" s="4" t="s">
        <v>47</v>
      </c>
      <c r="C39" s="4" t="s">
        <v>46</v>
      </c>
      <c r="D39" s="4" t="s">
        <v>277</v>
      </c>
      <c r="E39" s="4" t="s">
        <v>278</v>
      </c>
      <c r="F39" s="4" t="s">
        <v>279</v>
      </c>
      <c r="G39" s="4" t="s">
        <v>280</v>
      </c>
      <c r="H39" s="4" t="s">
        <v>281</v>
      </c>
      <c r="I39" s="4" t="s">
        <v>74</v>
      </c>
      <c r="J39" s="4" t="s">
        <v>75</v>
      </c>
      <c r="K39" s="4" t="s">
        <v>76</v>
      </c>
      <c r="L39" s="7"/>
      <c r="M39" s="7" t="s">
        <v>77</v>
      </c>
      <c r="N39" s="7"/>
      <c r="O39" s="7"/>
      <c r="P39" s="7"/>
    </row>
    <row r="40" customFormat="false" ht="23.85" hidden="false" customHeight="false" outlineLevel="0" collapsed="false">
      <c r="A40" s="4" t="s">
        <v>282</v>
      </c>
      <c r="B40" s="4" t="s">
        <v>47</v>
      </c>
      <c r="C40" s="4" t="s">
        <v>46</v>
      </c>
      <c r="D40" s="4" t="s">
        <v>283</v>
      </c>
      <c r="E40" s="4" t="s">
        <v>284</v>
      </c>
      <c r="F40" s="4" t="s">
        <v>279</v>
      </c>
      <c r="G40" s="4" t="s">
        <v>152</v>
      </c>
      <c r="H40" s="4" t="s">
        <v>285</v>
      </c>
      <c r="I40" s="4" t="s">
        <v>91</v>
      </c>
      <c r="J40" s="4" t="s">
        <v>75</v>
      </c>
      <c r="K40" s="4" t="s">
        <v>76</v>
      </c>
      <c r="L40" s="7"/>
      <c r="M40" s="7" t="s">
        <v>77</v>
      </c>
      <c r="N40" s="7"/>
      <c r="O40" s="7"/>
      <c r="P40" s="7"/>
    </row>
    <row r="41" customFormat="false" ht="35.05" hidden="false" customHeight="false" outlineLevel="0" collapsed="false">
      <c r="A41" s="4" t="s">
        <v>286</v>
      </c>
      <c r="B41" s="4" t="s">
        <v>47</v>
      </c>
      <c r="C41" s="4" t="s">
        <v>46</v>
      </c>
      <c r="D41" s="4" t="s">
        <v>287</v>
      </c>
      <c r="E41" s="4" t="s">
        <v>288</v>
      </c>
      <c r="F41" s="4" t="s">
        <v>289</v>
      </c>
      <c r="G41" s="4" t="s">
        <v>290</v>
      </c>
      <c r="H41" s="4" t="s">
        <v>291</v>
      </c>
      <c r="I41" s="4" t="s">
        <v>74</v>
      </c>
      <c r="J41" s="4" t="s">
        <v>75</v>
      </c>
      <c r="K41" s="4" t="s">
        <v>76</v>
      </c>
      <c r="L41" s="7"/>
      <c r="M41" s="7" t="s">
        <v>77</v>
      </c>
      <c r="N41" s="7"/>
      <c r="O41" s="7"/>
      <c r="P41" s="7"/>
    </row>
    <row r="42" customFormat="false" ht="23.85" hidden="false" customHeight="false" outlineLevel="0" collapsed="false">
      <c r="A42" s="4" t="s">
        <v>292</v>
      </c>
      <c r="B42" s="4" t="s">
        <v>47</v>
      </c>
      <c r="C42" s="4" t="s">
        <v>46</v>
      </c>
      <c r="D42" s="4" t="s">
        <v>293</v>
      </c>
      <c r="E42" s="4" t="s">
        <v>294</v>
      </c>
      <c r="F42" s="4" t="s">
        <v>295</v>
      </c>
      <c r="G42" s="4" t="s">
        <v>296</v>
      </c>
      <c r="H42" s="4" t="s">
        <v>297</v>
      </c>
      <c r="I42" s="4" t="s">
        <v>74</v>
      </c>
      <c r="J42" s="4" t="s">
        <v>75</v>
      </c>
      <c r="K42" s="4" t="s">
        <v>84</v>
      </c>
      <c r="L42" s="7"/>
      <c r="M42" s="7" t="s">
        <v>77</v>
      </c>
      <c r="N42" s="7"/>
      <c r="O42" s="7"/>
      <c r="P42" s="7"/>
    </row>
    <row r="43" customFormat="false" ht="23.85" hidden="false" customHeight="false" outlineLevel="0" collapsed="false">
      <c r="A43" s="4" t="s">
        <v>298</v>
      </c>
      <c r="B43" s="4" t="s">
        <v>47</v>
      </c>
      <c r="C43" s="4" t="s">
        <v>49</v>
      </c>
      <c r="D43" s="4" t="s">
        <v>299</v>
      </c>
      <c r="E43" s="4" t="s">
        <v>300</v>
      </c>
      <c r="F43" s="4" t="s">
        <v>301</v>
      </c>
      <c r="G43" s="4" t="s">
        <v>302</v>
      </c>
      <c r="H43" s="4" t="s">
        <v>303</v>
      </c>
      <c r="I43" s="4" t="s">
        <v>91</v>
      </c>
      <c r="J43" s="4" t="s">
        <v>83</v>
      </c>
      <c r="K43" s="4" t="s">
        <v>76</v>
      </c>
      <c r="L43" s="7"/>
      <c r="M43" s="7" t="s">
        <v>77</v>
      </c>
      <c r="N43" s="7"/>
      <c r="O43" s="7"/>
      <c r="P43" s="7"/>
    </row>
    <row r="44" customFormat="false" ht="35.05" hidden="false" customHeight="false" outlineLevel="0" collapsed="false">
      <c r="A44" s="4" t="s">
        <v>304</v>
      </c>
      <c r="B44" s="4" t="s">
        <v>47</v>
      </c>
      <c r="C44" s="4" t="s">
        <v>49</v>
      </c>
      <c r="D44" s="4" t="s">
        <v>305</v>
      </c>
      <c r="E44" s="4" t="s">
        <v>300</v>
      </c>
      <c r="F44" s="4" t="s">
        <v>306</v>
      </c>
      <c r="G44" s="4" t="s">
        <v>307</v>
      </c>
      <c r="H44" s="4" t="s">
        <v>308</v>
      </c>
      <c r="I44" s="4" t="s">
        <v>91</v>
      </c>
      <c r="J44" s="4" t="s">
        <v>83</v>
      </c>
      <c r="K44" s="4" t="s">
        <v>84</v>
      </c>
      <c r="L44" s="7"/>
      <c r="M44" s="7" t="s">
        <v>77</v>
      </c>
      <c r="N44" s="7"/>
      <c r="O44" s="7"/>
      <c r="P44" s="7"/>
    </row>
    <row r="45" customFormat="false" ht="35.05" hidden="false" customHeight="false" outlineLevel="0" collapsed="false">
      <c r="A45" s="4" t="s">
        <v>309</v>
      </c>
      <c r="B45" s="4" t="s">
        <v>47</v>
      </c>
      <c r="C45" s="4" t="s">
        <v>49</v>
      </c>
      <c r="D45" s="4" t="s">
        <v>310</v>
      </c>
      <c r="E45" s="4" t="s">
        <v>300</v>
      </c>
      <c r="F45" s="4" t="s">
        <v>311</v>
      </c>
      <c r="G45" s="4" t="s">
        <v>312</v>
      </c>
      <c r="H45" s="4" t="s">
        <v>313</v>
      </c>
      <c r="I45" s="4" t="s">
        <v>91</v>
      </c>
      <c r="J45" s="4" t="s">
        <v>126</v>
      </c>
      <c r="K45" s="4" t="s">
        <v>84</v>
      </c>
      <c r="L45" s="7"/>
      <c r="M45" s="7" t="s">
        <v>77</v>
      </c>
      <c r="N45" s="7"/>
      <c r="O45" s="7"/>
      <c r="P45" s="7"/>
    </row>
    <row r="46" customFormat="false" ht="46.25" hidden="false" customHeight="false" outlineLevel="0" collapsed="false">
      <c r="A46" s="4" t="s">
        <v>314</v>
      </c>
      <c r="B46" s="4" t="s">
        <v>47</v>
      </c>
      <c r="C46" s="4" t="s">
        <v>49</v>
      </c>
      <c r="D46" s="4" t="s">
        <v>315</v>
      </c>
      <c r="E46" s="4" t="s">
        <v>300</v>
      </c>
      <c r="F46" s="4" t="s">
        <v>316</v>
      </c>
      <c r="G46" s="4" t="s">
        <v>317</v>
      </c>
      <c r="H46" s="4" t="s">
        <v>318</v>
      </c>
      <c r="I46" s="4" t="s">
        <v>125</v>
      </c>
      <c r="J46" s="4" t="s">
        <v>126</v>
      </c>
      <c r="K46" s="4" t="s">
        <v>84</v>
      </c>
      <c r="L46" s="7"/>
      <c r="M46" s="7" t="s">
        <v>77</v>
      </c>
      <c r="N46" s="7"/>
      <c r="O46" s="7"/>
      <c r="P46" s="7"/>
    </row>
    <row r="47" customFormat="false" ht="35.05" hidden="false" customHeight="false" outlineLevel="0" collapsed="false">
      <c r="A47" s="4" t="s">
        <v>319</v>
      </c>
      <c r="B47" s="4" t="s">
        <v>52</v>
      </c>
      <c r="C47" s="4" t="s">
        <v>51</v>
      </c>
      <c r="D47" s="4" t="s">
        <v>320</v>
      </c>
      <c r="E47" s="4" t="s">
        <v>321</v>
      </c>
      <c r="F47" s="4" t="s">
        <v>322</v>
      </c>
      <c r="G47" s="4" t="s">
        <v>323</v>
      </c>
      <c r="H47" s="4" t="s">
        <v>324</v>
      </c>
      <c r="I47" s="4" t="s">
        <v>74</v>
      </c>
      <c r="J47" s="4" t="s">
        <v>75</v>
      </c>
      <c r="K47" s="4" t="s">
        <v>76</v>
      </c>
      <c r="L47" s="7"/>
      <c r="M47" s="7" t="s">
        <v>77</v>
      </c>
      <c r="N47" s="7"/>
      <c r="O47" s="7"/>
      <c r="P47" s="7"/>
    </row>
    <row r="48" customFormat="false" ht="23.85" hidden="false" customHeight="false" outlineLevel="0" collapsed="false">
      <c r="A48" s="4" t="s">
        <v>325</v>
      </c>
      <c r="B48" s="4" t="s">
        <v>52</v>
      </c>
      <c r="C48" s="4" t="s">
        <v>51</v>
      </c>
      <c r="D48" s="4" t="s">
        <v>326</v>
      </c>
      <c r="E48" s="4" t="s">
        <v>327</v>
      </c>
      <c r="F48" s="4" t="s">
        <v>328</v>
      </c>
      <c r="G48" s="4" t="s">
        <v>329</v>
      </c>
      <c r="H48" s="4" t="s">
        <v>330</v>
      </c>
      <c r="I48" s="4" t="s">
        <v>74</v>
      </c>
      <c r="J48" s="4" t="s">
        <v>75</v>
      </c>
      <c r="K48" s="4" t="s">
        <v>84</v>
      </c>
      <c r="L48" s="7"/>
      <c r="M48" s="7" t="s">
        <v>77</v>
      </c>
      <c r="N48" s="7"/>
      <c r="O48" s="7"/>
      <c r="P48" s="7"/>
    </row>
    <row r="49" customFormat="false" ht="23.85" hidden="false" customHeight="false" outlineLevel="0" collapsed="false">
      <c r="A49" s="4" t="s">
        <v>331</v>
      </c>
      <c r="B49" s="4" t="s">
        <v>52</v>
      </c>
      <c r="C49" s="4" t="s">
        <v>51</v>
      </c>
      <c r="D49" s="4" t="s">
        <v>332</v>
      </c>
      <c r="E49" s="4" t="s">
        <v>327</v>
      </c>
      <c r="F49" s="4" t="s">
        <v>333</v>
      </c>
      <c r="G49" s="4" t="s">
        <v>152</v>
      </c>
      <c r="H49" s="4" t="s">
        <v>334</v>
      </c>
      <c r="I49" s="4" t="s">
        <v>74</v>
      </c>
      <c r="J49" s="4" t="s">
        <v>75</v>
      </c>
      <c r="K49" s="4" t="s">
        <v>76</v>
      </c>
      <c r="L49" s="7"/>
      <c r="M49" s="7" t="s">
        <v>77</v>
      </c>
      <c r="N49" s="7"/>
      <c r="O49" s="7"/>
      <c r="P49" s="7"/>
    </row>
    <row r="50" customFormat="false" ht="23.85" hidden="false" customHeight="false" outlineLevel="0" collapsed="false">
      <c r="A50" s="4" t="s">
        <v>335</v>
      </c>
      <c r="B50" s="4" t="s">
        <v>52</v>
      </c>
      <c r="C50" s="4" t="s">
        <v>51</v>
      </c>
      <c r="D50" s="4" t="s">
        <v>336</v>
      </c>
      <c r="E50" s="4" t="s">
        <v>327</v>
      </c>
      <c r="F50" s="4" t="s">
        <v>337</v>
      </c>
      <c r="G50" s="4" t="s">
        <v>152</v>
      </c>
      <c r="H50" s="4" t="s">
        <v>338</v>
      </c>
      <c r="I50" s="4" t="s">
        <v>91</v>
      </c>
      <c r="J50" s="4" t="s">
        <v>75</v>
      </c>
      <c r="K50" s="4" t="s">
        <v>84</v>
      </c>
      <c r="L50" s="7"/>
      <c r="M50" s="7" t="s">
        <v>77</v>
      </c>
      <c r="N50" s="7"/>
      <c r="O50" s="7"/>
      <c r="P50" s="7"/>
    </row>
  </sheetData>
  <autoFilter ref="A1:P50"/>
  <dataValidations count="1">
    <dataValidation allowBlank="false" errorStyle="stop" operator="between" showDropDown="false" showErrorMessage="false" showInputMessage="false" sqref="M2:M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8"/>
    <col collapsed="false" customWidth="true" hidden="false" outlineLevel="0" max="3" min="3" style="0" width="16"/>
    <col collapsed="false" customWidth="true" hidden="false" outlineLevel="0" max="4" min="4" style="0" width="11"/>
    <col collapsed="false" customWidth="true" hidden="false" outlineLevel="0" max="5" min="5" style="0" width="22"/>
    <col collapsed="false" customWidth="true" hidden="false" outlineLevel="0" max="6" min="6" style="0" width="48"/>
    <col collapsed="false" customWidth="true" hidden="false" outlineLevel="0" max="8" min="7" style="0" width="34"/>
    <col collapsed="false" customWidth="true" hidden="false" outlineLevel="0" max="9" min="9" style="0" width="11"/>
    <col collapsed="false" customWidth="true" hidden="false" outlineLevel="0" max="10" min="10" style="0" width="10"/>
    <col collapsed="false" customWidth="true" hidden="false" outlineLevel="0" max="11" min="11" style="0" width="11"/>
    <col collapsed="false" customWidth="true" hidden="false" outlineLevel="0" max="12" min="12" style="0" width="13"/>
    <col collapsed="false" customWidth="true" hidden="false" outlineLevel="0" max="13" min="13" style="0" width="22"/>
    <col collapsed="false" customWidth="true" hidden="false" outlineLevel="0" max="14" min="14" style="0" width="24"/>
  </cols>
  <sheetData>
    <row r="1" customFormat="false" ht="15" hidden="false" customHeight="false" outlineLevel="0" collapsed="false">
      <c r="A1" s="6" t="s">
        <v>67</v>
      </c>
      <c r="B1" s="6" t="s">
        <v>339</v>
      </c>
      <c r="C1" s="6" t="s">
        <v>23</v>
      </c>
      <c r="D1" s="6" t="s">
        <v>340</v>
      </c>
      <c r="E1" s="6" t="s">
        <v>341</v>
      </c>
      <c r="F1" s="6" t="s">
        <v>342</v>
      </c>
      <c r="G1" s="6" t="s">
        <v>59</v>
      </c>
      <c r="H1" s="6" t="s">
        <v>63</v>
      </c>
      <c r="I1" s="6" t="s">
        <v>343</v>
      </c>
      <c r="J1" s="6" t="s">
        <v>62</v>
      </c>
      <c r="K1" s="6" t="s">
        <v>64</v>
      </c>
      <c r="L1" s="6" t="s">
        <v>344</v>
      </c>
      <c r="M1" s="6" t="s">
        <v>345</v>
      </c>
      <c r="N1" s="6" t="s">
        <v>346</v>
      </c>
    </row>
    <row r="2" customFormat="false" ht="35.05" hidden="false" customHeight="false" outlineLevel="0" collapsed="false">
      <c r="A2" s="8" t="s">
        <v>347</v>
      </c>
      <c r="B2" s="8" t="s">
        <v>348</v>
      </c>
      <c r="C2" s="8" t="s">
        <v>349</v>
      </c>
      <c r="D2" s="8" t="s">
        <v>350</v>
      </c>
      <c r="E2" s="8" t="s">
        <v>351</v>
      </c>
      <c r="F2" s="8" t="s">
        <v>352</v>
      </c>
      <c r="G2" s="8" t="s">
        <v>353</v>
      </c>
      <c r="H2" s="8" t="s">
        <v>354</v>
      </c>
      <c r="I2" s="8" t="s">
        <v>84</v>
      </c>
      <c r="J2" s="8" t="s">
        <v>84</v>
      </c>
      <c r="K2" s="8" t="s">
        <v>355</v>
      </c>
      <c r="L2" s="8" t="s">
        <v>12</v>
      </c>
      <c r="M2" s="8" t="s">
        <v>356</v>
      </c>
      <c r="N2" s="8" t="s">
        <v>357</v>
      </c>
    </row>
    <row r="3" customFormat="false" ht="15" hidden="false" customHeight="false" outlineLevel="0" collapsed="false">
      <c r="A3" s="7"/>
      <c r="B3" s="7"/>
      <c r="C3" s="7"/>
      <c r="D3" s="7"/>
      <c r="E3" s="7"/>
      <c r="F3" s="7"/>
      <c r="G3" s="7"/>
      <c r="H3" s="7"/>
      <c r="I3" s="7"/>
      <c r="J3" s="7"/>
      <c r="K3" s="7"/>
      <c r="L3" s="7"/>
      <c r="M3" s="7"/>
      <c r="N3" s="7"/>
    </row>
    <row r="4" customFormat="false" ht="15" hidden="false" customHeight="false" outlineLevel="0" collapsed="false">
      <c r="A4" s="7"/>
      <c r="B4" s="7"/>
      <c r="C4" s="7"/>
      <c r="D4" s="7"/>
      <c r="E4" s="7"/>
      <c r="F4" s="7"/>
      <c r="G4" s="7"/>
      <c r="H4" s="7"/>
      <c r="I4" s="7"/>
      <c r="J4" s="7"/>
      <c r="K4" s="7"/>
      <c r="L4" s="7"/>
      <c r="M4" s="7"/>
      <c r="N4" s="7"/>
    </row>
    <row r="5" customFormat="false" ht="15" hidden="false" customHeight="false" outlineLevel="0" collapsed="false">
      <c r="A5" s="7"/>
      <c r="B5" s="7"/>
      <c r="C5" s="7"/>
      <c r="D5" s="7"/>
      <c r="E5" s="7"/>
      <c r="F5" s="7"/>
      <c r="G5" s="7"/>
      <c r="H5" s="7"/>
      <c r="I5" s="7"/>
      <c r="J5" s="7"/>
      <c r="K5" s="7"/>
      <c r="L5" s="7"/>
      <c r="M5" s="7"/>
      <c r="N5" s="7"/>
    </row>
    <row r="6" customFormat="false" ht="15" hidden="false" customHeight="false" outlineLevel="0" collapsed="false">
      <c r="A6" s="7"/>
      <c r="B6" s="7"/>
      <c r="C6" s="7"/>
      <c r="D6" s="7"/>
      <c r="E6" s="7"/>
      <c r="F6" s="7"/>
      <c r="G6" s="7"/>
      <c r="H6" s="7"/>
      <c r="I6" s="7"/>
      <c r="J6" s="7"/>
      <c r="K6" s="7"/>
      <c r="L6" s="7"/>
      <c r="M6" s="7"/>
      <c r="N6" s="7"/>
    </row>
    <row r="7" customFormat="false" ht="15" hidden="false" customHeight="false" outlineLevel="0" collapsed="false">
      <c r="A7" s="7"/>
      <c r="B7" s="7"/>
      <c r="C7" s="7"/>
      <c r="D7" s="7"/>
      <c r="E7" s="7"/>
      <c r="F7" s="7"/>
      <c r="G7" s="7"/>
      <c r="H7" s="7"/>
      <c r="I7" s="7"/>
      <c r="J7" s="7"/>
      <c r="K7" s="7"/>
      <c r="L7" s="7"/>
      <c r="M7" s="7"/>
      <c r="N7" s="7"/>
    </row>
    <row r="8" customFormat="false" ht="15" hidden="false" customHeight="false" outlineLevel="0" collapsed="false">
      <c r="A8" s="7"/>
      <c r="B8" s="7"/>
      <c r="C8" s="7"/>
      <c r="D8" s="7"/>
      <c r="E8" s="7"/>
      <c r="F8" s="7"/>
      <c r="G8" s="7"/>
      <c r="H8" s="7"/>
      <c r="I8" s="7"/>
      <c r="J8" s="7"/>
      <c r="K8" s="7"/>
      <c r="L8" s="7"/>
      <c r="M8" s="7"/>
      <c r="N8" s="7"/>
    </row>
    <row r="9" customFormat="false" ht="15" hidden="false" customHeight="false" outlineLevel="0" collapsed="false">
      <c r="A9" s="7"/>
      <c r="B9" s="7"/>
      <c r="C9" s="7"/>
      <c r="D9" s="7"/>
      <c r="E9" s="7"/>
      <c r="F9" s="7"/>
      <c r="G9" s="7"/>
      <c r="H9" s="7"/>
      <c r="I9" s="7"/>
      <c r="J9" s="7"/>
      <c r="K9" s="7"/>
      <c r="L9" s="7"/>
      <c r="M9" s="7"/>
      <c r="N9" s="7"/>
    </row>
    <row r="10" customFormat="false" ht="15" hidden="false" customHeight="false" outlineLevel="0" collapsed="false">
      <c r="A10" s="7"/>
      <c r="B10" s="7"/>
      <c r="C10" s="7"/>
      <c r="D10" s="7"/>
      <c r="E10" s="7"/>
      <c r="F10" s="7"/>
      <c r="G10" s="7"/>
      <c r="H10" s="7"/>
      <c r="I10" s="7"/>
      <c r="J10" s="7"/>
      <c r="K10" s="7"/>
      <c r="L10" s="7"/>
      <c r="M10" s="7"/>
      <c r="N10" s="7"/>
    </row>
    <row r="11" customFormat="false" ht="15" hidden="false" customHeight="false" outlineLevel="0" collapsed="false">
      <c r="A11" s="7"/>
      <c r="B11" s="7"/>
      <c r="C11" s="7"/>
      <c r="D11" s="7"/>
      <c r="E11" s="7"/>
      <c r="F11" s="7"/>
      <c r="G11" s="7"/>
      <c r="H11" s="7"/>
      <c r="I11" s="7"/>
      <c r="J11" s="7"/>
      <c r="K11" s="7"/>
      <c r="L11" s="7"/>
      <c r="M11" s="7"/>
      <c r="N11" s="7"/>
    </row>
    <row r="12" customFormat="false" ht="15" hidden="false" customHeight="false" outlineLevel="0" collapsed="false">
      <c r="A12" s="7"/>
      <c r="B12" s="7"/>
      <c r="C12" s="7"/>
      <c r="D12" s="7"/>
      <c r="E12" s="7"/>
      <c r="F12" s="7"/>
      <c r="G12" s="7"/>
      <c r="H12" s="7"/>
      <c r="I12" s="7"/>
      <c r="J12" s="7"/>
      <c r="K12" s="7"/>
      <c r="L12" s="7"/>
      <c r="M12" s="7"/>
      <c r="N12" s="7"/>
    </row>
    <row r="13" customFormat="false" ht="15" hidden="false" customHeight="false" outlineLevel="0" collapsed="false">
      <c r="A13" s="7"/>
      <c r="B13" s="7"/>
      <c r="C13" s="7"/>
      <c r="D13" s="7"/>
      <c r="E13" s="7"/>
      <c r="F13" s="7"/>
      <c r="G13" s="7"/>
      <c r="H13" s="7"/>
      <c r="I13" s="7"/>
      <c r="J13" s="7"/>
      <c r="K13" s="7"/>
      <c r="L13" s="7"/>
      <c r="M13" s="7"/>
      <c r="N13" s="7"/>
    </row>
    <row r="14" customFormat="false" ht="15" hidden="false" customHeight="false" outlineLevel="0" collapsed="false">
      <c r="A14" s="7"/>
      <c r="B14" s="7"/>
      <c r="C14" s="7"/>
      <c r="D14" s="7"/>
      <c r="E14" s="7"/>
      <c r="F14" s="7"/>
      <c r="G14" s="7"/>
      <c r="H14" s="7"/>
      <c r="I14" s="7"/>
      <c r="J14" s="7"/>
      <c r="K14" s="7"/>
      <c r="L14" s="7"/>
      <c r="M14" s="7"/>
      <c r="N14" s="7"/>
    </row>
    <row r="15" customFormat="false" ht="15" hidden="false" customHeight="false" outlineLevel="0" collapsed="false">
      <c r="A15" s="7"/>
      <c r="B15" s="7"/>
      <c r="C15" s="7"/>
      <c r="D15" s="7"/>
      <c r="E15" s="7"/>
      <c r="F15" s="7"/>
      <c r="G15" s="7"/>
      <c r="H15" s="7"/>
      <c r="I15" s="7"/>
      <c r="J15" s="7"/>
      <c r="K15" s="7"/>
      <c r="L15" s="7"/>
      <c r="M15" s="7"/>
      <c r="N15" s="7"/>
    </row>
    <row r="16" customFormat="false" ht="15" hidden="false" customHeight="false" outlineLevel="0" collapsed="false">
      <c r="A16" s="7"/>
      <c r="B16" s="7"/>
      <c r="C16" s="7"/>
      <c r="D16" s="7"/>
      <c r="E16" s="7"/>
      <c r="F16" s="7"/>
      <c r="G16" s="7"/>
      <c r="H16" s="7"/>
      <c r="I16" s="7"/>
      <c r="J16" s="7"/>
      <c r="K16" s="7"/>
      <c r="L16" s="7"/>
      <c r="M16" s="7"/>
      <c r="N16" s="7"/>
    </row>
    <row r="17" customFormat="false" ht="15" hidden="false" customHeight="false" outlineLevel="0" collapsed="false">
      <c r="A17" s="7"/>
      <c r="B17" s="7"/>
      <c r="C17" s="7"/>
      <c r="D17" s="7"/>
      <c r="E17" s="7"/>
      <c r="F17" s="7"/>
      <c r="G17" s="7"/>
      <c r="H17" s="7"/>
      <c r="I17" s="7"/>
      <c r="J17" s="7"/>
      <c r="K17" s="7"/>
      <c r="L17" s="7"/>
      <c r="M17" s="7"/>
      <c r="N17" s="7"/>
    </row>
    <row r="18" customFormat="false" ht="15" hidden="false" customHeight="false" outlineLevel="0" collapsed="false">
      <c r="A18" s="7"/>
      <c r="B18" s="7"/>
      <c r="C18" s="7"/>
      <c r="D18" s="7"/>
      <c r="E18" s="7"/>
      <c r="F18" s="7"/>
      <c r="G18" s="7"/>
      <c r="H18" s="7"/>
      <c r="I18" s="7"/>
      <c r="J18" s="7"/>
      <c r="K18" s="7"/>
      <c r="L18" s="7"/>
      <c r="M18" s="7"/>
      <c r="N18" s="7"/>
    </row>
    <row r="19" customFormat="false" ht="15" hidden="false" customHeight="false" outlineLevel="0" collapsed="false">
      <c r="A19" s="7"/>
      <c r="B19" s="7"/>
      <c r="C19" s="7"/>
      <c r="D19" s="7"/>
      <c r="E19" s="7"/>
      <c r="F19" s="7"/>
      <c r="G19" s="7"/>
      <c r="H19" s="7"/>
      <c r="I19" s="7"/>
      <c r="J19" s="7"/>
      <c r="K19" s="7"/>
      <c r="L19" s="7"/>
      <c r="M19" s="7"/>
      <c r="N19" s="7"/>
    </row>
    <row r="20" customFormat="false" ht="15" hidden="false" customHeight="false" outlineLevel="0" collapsed="false">
      <c r="A20" s="7"/>
      <c r="B20" s="7"/>
      <c r="C20" s="7"/>
      <c r="D20" s="7"/>
      <c r="E20" s="7"/>
      <c r="F20" s="7"/>
      <c r="G20" s="7"/>
      <c r="H20" s="7"/>
      <c r="I20" s="7"/>
      <c r="J20" s="7"/>
      <c r="K20" s="7"/>
      <c r="L20" s="7"/>
      <c r="M20" s="7"/>
      <c r="N20" s="7"/>
    </row>
    <row r="21" customFormat="false" ht="15" hidden="false" customHeight="false" outlineLevel="0" collapsed="false">
      <c r="A21" s="7"/>
      <c r="B21" s="7"/>
      <c r="C21" s="7"/>
      <c r="D21" s="7"/>
      <c r="E21" s="7"/>
      <c r="F21" s="7"/>
      <c r="G21" s="7"/>
      <c r="H21" s="7"/>
      <c r="I21" s="7"/>
      <c r="J21" s="7"/>
      <c r="K21" s="7"/>
      <c r="L21" s="7"/>
      <c r="M21" s="7"/>
      <c r="N21" s="7"/>
    </row>
    <row r="22" customFormat="false" ht="15" hidden="false" customHeight="false" outlineLevel="0" collapsed="false">
      <c r="A22" s="7"/>
      <c r="B22" s="7"/>
      <c r="C22" s="7"/>
      <c r="D22" s="7"/>
      <c r="E22" s="7"/>
      <c r="F22" s="7"/>
      <c r="G22" s="7"/>
      <c r="H22" s="7"/>
      <c r="I22" s="7"/>
      <c r="J22" s="7"/>
      <c r="K22" s="7"/>
      <c r="L22" s="7"/>
      <c r="M22" s="7"/>
      <c r="N22" s="7"/>
    </row>
    <row r="23" customFormat="false" ht="15" hidden="false" customHeight="false" outlineLevel="0" collapsed="false">
      <c r="A23" s="7"/>
      <c r="B23" s="7"/>
      <c r="C23" s="7"/>
      <c r="D23" s="7"/>
      <c r="E23" s="7"/>
      <c r="F23" s="7"/>
      <c r="G23" s="7"/>
      <c r="H23" s="7"/>
      <c r="I23" s="7"/>
      <c r="J23" s="7"/>
      <c r="K23" s="7"/>
      <c r="L23" s="7"/>
      <c r="M23" s="7"/>
      <c r="N23" s="7"/>
    </row>
    <row r="24" customFormat="false" ht="15" hidden="false" customHeight="false" outlineLevel="0" collapsed="false">
      <c r="A24" s="7"/>
      <c r="B24" s="7"/>
      <c r="C24" s="7"/>
      <c r="D24" s="7"/>
      <c r="E24" s="7"/>
      <c r="F24" s="7"/>
      <c r="G24" s="7"/>
      <c r="H24" s="7"/>
      <c r="I24" s="7"/>
      <c r="J24" s="7"/>
      <c r="K24" s="7"/>
      <c r="L24" s="7"/>
      <c r="M24" s="7"/>
      <c r="N24" s="7"/>
    </row>
    <row r="25" customFormat="false" ht="15" hidden="false" customHeight="false" outlineLevel="0" collapsed="false">
      <c r="A25" s="7"/>
      <c r="B25" s="7"/>
      <c r="C25" s="7"/>
      <c r="D25" s="7"/>
      <c r="E25" s="7"/>
      <c r="F25" s="7"/>
      <c r="G25" s="7"/>
      <c r="H25" s="7"/>
      <c r="I25" s="7"/>
      <c r="J25" s="7"/>
      <c r="K25" s="7"/>
      <c r="L25" s="7"/>
      <c r="M25" s="7"/>
      <c r="N25" s="7"/>
    </row>
    <row r="26" customFormat="false" ht="15" hidden="false" customHeight="false" outlineLevel="0" collapsed="false">
      <c r="A26" s="7"/>
      <c r="B26" s="7"/>
      <c r="C26" s="7"/>
      <c r="D26" s="7"/>
      <c r="E26" s="7"/>
      <c r="F26" s="7"/>
      <c r="G26" s="7"/>
      <c r="H26" s="7"/>
      <c r="I26" s="7"/>
      <c r="J26" s="7"/>
      <c r="K26" s="7"/>
      <c r="L26" s="7"/>
      <c r="M26" s="7"/>
      <c r="N26" s="7"/>
    </row>
    <row r="27" customFormat="false" ht="15" hidden="false" customHeight="false" outlineLevel="0" collapsed="false">
      <c r="A27" s="7"/>
      <c r="B27" s="7"/>
      <c r="C27" s="7"/>
      <c r="D27" s="7"/>
      <c r="E27" s="7"/>
      <c r="F27" s="7"/>
      <c r="G27" s="7"/>
      <c r="H27" s="7"/>
      <c r="I27" s="7"/>
      <c r="J27" s="7"/>
      <c r="K27" s="7"/>
      <c r="L27" s="7"/>
      <c r="M27" s="7"/>
      <c r="N27" s="7"/>
    </row>
    <row r="28" customFormat="false" ht="15" hidden="false" customHeight="false" outlineLevel="0" collapsed="false">
      <c r="A28" s="7"/>
      <c r="B28" s="7"/>
      <c r="C28" s="7"/>
      <c r="D28" s="7"/>
      <c r="E28" s="7"/>
      <c r="F28" s="7"/>
      <c r="G28" s="7"/>
      <c r="H28" s="7"/>
      <c r="I28" s="7"/>
      <c r="J28" s="7"/>
      <c r="K28" s="7"/>
      <c r="L28" s="7"/>
      <c r="M28" s="7"/>
      <c r="N28" s="7"/>
    </row>
    <row r="29" customFormat="false" ht="15" hidden="false" customHeight="false" outlineLevel="0" collapsed="false">
      <c r="A29" s="7"/>
      <c r="B29" s="7"/>
      <c r="C29" s="7"/>
      <c r="D29" s="7"/>
      <c r="E29" s="7"/>
      <c r="F29" s="7"/>
      <c r="G29" s="7"/>
      <c r="H29" s="7"/>
      <c r="I29" s="7"/>
      <c r="J29" s="7"/>
      <c r="K29" s="7"/>
      <c r="L29" s="7"/>
      <c r="M29" s="7"/>
      <c r="N29" s="7"/>
    </row>
    <row r="30" customFormat="false" ht="15" hidden="false" customHeight="false" outlineLevel="0" collapsed="false">
      <c r="A30" s="7"/>
      <c r="B30" s="7"/>
      <c r="C30" s="7"/>
      <c r="D30" s="7"/>
      <c r="E30" s="7"/>
      <c r="F30" s="7"/>
      <c r="G30" s="7"/>
      <c r="H30" s="7"/>
      <c r="I30" s="7"/>
      <c r="J30" s="7"/>
      <c r="K30" s="7"/>
      <c r="L30" s="7"/>
      <c r="M30" s="7"/>
      <c r="N30" s="7"/>
    </row>
    <row r="31" customFormat="false" ht="15" hidden="false" customHeight="false" outlineLevel="0" collapsed="false">
      <c r="A31" s="7"/>
      <c r="B31" s="7"/>
      <c r="C31" s="7"/>
      <c r="D31" s="7"/>
      <c r="E31" s="7"/>
      <c r="F31" s="7"/>
      <c r="G31" s="7"/>
      <c r="H31" s="7"/>
      <c r="I31" s="7"/>
      <c r="J31" s="7"/>
      <c r="K31" s="7"/>
      <c r="L31" s="7"/>
      <c r="M31" s="7"/>
      <c r="N31" s="7"/>
    </row>
    <row r="32" customFormat="false" ht="15" hidden="false" customHeight="false" outlineLevel="0" collapsed="false">
      <c r="A32" s="7"/>
      <c r="B32" s="7"/>
      <c r="C32" s="7"/>
      <c r="D32" s="7"/>
      <c r="E32" s="7"/>
      <c r="F32" s="7"/>
      <c r="G32" s="7"/>
      <c r="H32" s="7"/>
      <c r="I32" s="7"/>
      <c r="J32" s="7"/>
      <c r="K32" s="7"/>
      <c r="L32" s="7"/>
      <c r="M32" s="7"/>
      <c r="N32" s="7"/>
    </row>
    <row r="33" customFormat="false" ht="15" hidden="false" customHeight="false" outlineLevel="0" collapsed="false">
      <c r="A33" s="7"/>
      <c r="B33" s="7"/>
      <c r="C33" s="7"/>
      <c r="D33" s="7"/>
      <c r="E33" s="7"/>
      <c r="F33" s="7"/>
      <c r="G33" s="7"/>
      <c r="H33" s="7"/>
      <c r="I33" s="7"/>
      <c r="J33" s="7"/>
      <c r="K33" s="7"/>
      <c r="L33" s="7"/>
      <c r="M33" s="7"/>
      <c r="N33" s="7"/>
    </row>
    <row r="34" customFormat="false" ht="15" hidden="false" customHeight="false" outlineLevel="0" collapsed="false">
      <c r="A34" s="7"/>
      <c r="B34" s="7"/>
      <c r="C34" s="7"/>
      <c r="D34" s="7"/>
      <c r="E34" s="7"/>
      <c r="F34" s="7"/>
      <c r="G34" s="7"/>
      <c r="H34" s="7"/>
      <c r="I34" s="7"/>
      <c r="J34" s="7"/>
      <c r="K34" s="7"/>
      <c r="L34" s="7"/>
      <c r="M34" s="7"/>
      <c r="N34" s="7"/>
    </row>
    <row r="35" customFormat="false" ht="15" hidden="false" customHeight="false" outlineLevel="0" collapsed="false">
      <c r="A35" s="7"/>
      <c r="B35" s="7"/>
      <c r="C35" s="7"/>
      <c r="D35" s="7"/>
      <c r="E35" s="7"/>
      <c r="F35" s="7"/>
      <c r="G35" s="7"/>
      <c r="H35" s="7"/>
      <c r="I35" s="7"/>
      <c r="J35" s="7"/>
      <c r="K35" s="7"/>
      <c r="L35" s="7"/>
      <c r="M35" s="7"/>
      <c r="N35" s="7"/>
    </row>
    <row r="36" customFormat="false" ht="15" hidden="false" customHeight="false" outlineLevel="0" collapsed="false">
      <c r="A36" s="7"/>
      <c r="B36" s="7"/>
      <c r="C36" s="7"/>
      <c r="D36" s="7"/>
      <c r="E36" s="7"/>
      <c r="F36" s="7"/>
      <c r="G36" s="7"/>
      <c r="H36" s="7"/>
      <c r="I36" s="7"/>
      <c r="J36" s="7"/>
      <c r="K36" s="7"/>
      <c r="L36" s="7"/>
      <c r="M36" s="7"/>
      <c r="N36" s="7"/>
    </row>
    <row r="37" customFormat="false" ht="15" hidden="false" customHeight="false" outlineLevel="0" collapsed="false">
      <c r="A37" s="7"/>
      <c r="B37" s="7"/>
      <c r="C37" s="7"/>
      <c r="D37" s="7"/>
      <c r="E37" s="7"/>
      <c r="F37" s="7"/>
      <c r="G37" s="7"/>
      <c r="H37" s="7"/>
      <c r="I37" s="7"/>
      <c r="J37" s="7"/>
      <c r="K37" s="7"/>
      <c r="L37" s="7"/>
      <c r="M37" s="7"/>
      <c r="N37" s="7"/>
    </row>
    <row r="38" customFormat="false" ht="15" hidden="false" customHeight="false" outlineLevel="0" collapsed="false">
      <c r="A38" s="7"/>
      <c r="B38" s="7"/>
      <c r="C38" s="7"/>
      <c r="D38" s="7"/>
      <c r="E38" s="7"/>
      <c r="F38" s="7"/>
      <c r="G38" s="7"/>
      <c r="H38" s="7"/>
      <c r="I38" s="7"/>
      <c r="J38" s="7"/>
      <c r="K38" s="7"/>
      <c r="L38" s="7"/>
      <c r="M38" s="7"/>
      <c r="N38" s="7"/>
    </row>
    <row r="39" customFormat="false" ht="15" hidden="false" customHeight="false" outlineLevel="0" collapsed="false">
      <c r="A39" s="7"/>
      <c r="B39" s="7"/>
      <c r="C39" s="7"/>
      <c r="D39" s="7"/>
      <c r="E39" s="7"/>
      <c r="F39" s="7"/>
      <c r="G39" s="7"/>
      <c r="H39" s="7"/>
      <c r="I39" s="7"/>
      <c r="J39" s="7"/>
      <c r="K39" s="7"/>
      <c r="L39" s="7"/>
      <c r="M39" s="7"/>
      <c r="N39" s="7"/>
    </row>
  </sheetData>
  <dataValidations count="3">
    <dataValidation allowBlank="true" errorStyle="stop" operator="between" showDropDown="false" showErrorMessage="false" showInputMessage="false" sqref="I3:I200" type="list">
      <formula1>"Critical,High,Medium,Low"</formula1>
      <formula2>0</formula2>
    </dataValidation>
    <dataValidation allowBlank="true" errorStyle="stop" operator="between" showDropDown="false" showErrorMessage="false" showInputMessage="false" sqref="J3:J200" type="list">
      <formula1>"High,Medium,Low"</formula1>
      <formula2>0</formula2>
    </dataValidation>
    <dataValidation allowBlank="true" errorStyle="stop" operator="between" showDropDown="false" showErrorMessage="false" showInputMessage="false" sqref="K3:K200" type="list">
      <formula1>"New,Assigned,Fixed,Retest,Closed,Reopened"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7" min="2" style="0" width="10"/>
  </cols>
  <sheetData>
    <row r="1" customFormat="false" ht="16.15" hidden="false" customHeight="false" outlineLevel="0" collapsed="false">
      <c r="A1" s="9" t="s">
        <v>358</v>
      </c>
      <c r="B1" s="2"/>
      <c r="C1" s="2"/>
      <c r="D1" s="2"/>
      <c r="E1" s="2"/>
      <c r="F1" s="2"/>
      <c r="G1" s="2"/>
    </row>
    <row r="2" customFormat="false" ht="15" hidden="false" customHeight="false" outlineLevel="0" collapsed="false">
      <c r="A2" s="2"/>
      <c r="B2" s="2"/>
      <c r="C2" s="2"/>
      <c r="D2" s="2"/>
      <c r="E2" s="2"/>
      <c r="F2" s="2"/>
      <c r="G2" s="2"/>
    </row>
    <row r="3" customFormat="false" ht="15" hidden="false" customHeight="false" outlineLevel="0" collapsed="false">
      <c r="A3" s="6" t="s">
        <v>23</v>
      </c>
      <c r="B3" s="6" t="s">
        <v>359</v>
      </c>
      <c r="C3" s="6" t="s">
        <v>360</v>
      </c>
      <c r="D3" s="6" t="s">
        <v>361</v>
      </c>
      <c r="E3" s="6" t="s">
        <v>362</v>
      </c>
      <c r="F3" s="6" t="s">
        <v>77</v>
      </c>
      <c r="G3" s="6" t="s">
        <v>363</v>
      </c>
    </row>
    <row r="4" customFormat="false" ht="15" hidden="false" customHeight="false" outlineLevel="0" collapsed="false">
      <c r="A4" s="4" t="s">
        <v>27</v>
      </c>
      <c r="B4" s="4" t="n">
        <f aca="false">COUNTIF('Test Cases'!$B$2:$B$200,A4)</f>
        <v>11</v>
      </c>
      <c r="C4" s="4" t="n">
        <f aca="false">COUNTIFS('Test Cases'!$B$2:$B$200,$A4,'Test Cases'!$M$2:$M$200,"Pass")</f>
        <v>0</v>
      </c>
      <c r="D4" s="4" t="n">
        <f aca="false">COUNTIFS('Test Cases'!$B$2:$B$200,$A4,'Test Cases'!$M$2:$M$200,"Fail")</f>
        <v>0</v>
      </c>
      <c r="E4" s="4" t="n">
        <f aca="false">COUNTIFS('Test Cases'!$B$2:$B$200,$A4,'Test Cases'!$M$2:$M$200,"Blocked")</f>
        <v>0</v>
      </c>
      <c r="F4" s="4" t="n">
        <f aca="false">COUNTIFS('Test Cases'!$B$2:$B$200,$A4,'Test Cases'!$M$2:$M$200,"Not Run")</f>
        <v>11</v>
      </c>
      <c r="G4" s="10" t="n">
        <f aca="false">IF(B4=0,0,C4/B4)</f>
        <v>0</v>
      </c>
    </row>
    <row r="5" customFormat="false" ht="15" hidden="false" customHeight="false" outlineLevel="0" collapsed="false">
      <c r="A5" s="4" t="s">
        <v>32</v>
      </c>
      <c r="B5" s="4" t="n">
        <f aca="false">COUNTIF('Test Cases'!$B$2:$B$200,A5)</f>
        <v>9</v>
      </c>
      <c r="C5" s="4" t="n">
        <f aca="false">COUNTIFS('Test Cases'!$B$2:$B$200,$A5,'Test Cases'!$M$2:$M$200,"Pass")</f>
        <v>0</v>
      </c>
      <c r="D5" s="4" t="n">
        <f aca="false">COUNTIFS('Test Cases'!$B$2:$B$200,$A5,'Test Cases'!$M$2:$M$200,"Fail")</f>
        <v>0</v>
      </c>
      <c r="E5" s="4" t="n">
        <f aca="false">COUNTIFS('Test Cases'!$B$2:$B$200,$A5,'Test Cases'!$M$2:$M$200,"Blocked")</f>
        <v>0</v>
      </c>
      <c r="F5" s="4" t="n">
        <f aca="false">COUNTIFS('Test Cases'!$B$2:$B$200,$A5,'Test Cases'!$M$2:$M$200,"Not Run")</f>
        <v>9</v>
      </c>
      <c r="G5" s="10" t="n">
        <f aca="false">IF(B5=0,0,C5/B5)</f>
        <v>0</v>
      </c>
    </row>
    <row r="6" customFormat="false" ht="15" hidden="false" customHeight="false" outlineLevel="0" collapsed="false">
      <c r="A6" s="4" t="s">
        <v>37</v>
      </c>
      <c r="B6" s="4" t="n">
        <f aca="false">COUNTIF('Test Cases'!$B$2:$B$200,A6)</f>
        <v>8</v>
      </c>
      <c r="C6" s="4" t="n">
        <f aca="false">COUNTIFS('Test Cases'!$B$2:$B$200,$A6,'Test Cases'!$M$2:$M$200,"Pass")</f>
        <v>0</v>
      </c>
      <c r="D6" s="4" t="n">
        <f aca="false">COUNTIFS('Test Cases'!$B$2:$B$200,$A6,'Test Cases'!$M$2:$M$200,"Fail")</f>
        <v>0</v>
      </c>
      <c r="E6" s="4" t="n">
        <f aca="false">COUNTIFS('Test Cases'!$B$2:$B$200,$A6,'Test Cases'!$M$2:$M$200,"Blocked")</f>
        <v>0</v>
      </c>
      <c r="F6" s="4" t="n">
        <f aca="false">COUNTIFS('Test Cases'!$B$2:$B$200,$A6,'Test Cases'!$M$2:$M$200,"Not Run")</f>
        <v>8</v>
      </c>
      <c r="G6" s="10" t="n">
        <f aca="false">IF(B6=0,0,C6/B6)</f>
        <v>0</v>
      </c>
    </row>
    <row r="7" customFormat="false" ht="15" hidden="false" customHeight="false" outlineLevel="0" collapsed="false">
      <c r="A7" s="4" t="s">
        <v>42</v>
      </c>
      <c r="B7" s="4" t="n">
        <f aca="false">COUNTIF('Test Cases'!$B$2:$B$200,A7)</f>
        <v>9</v>
      </c>
      <c r="C7" s="4" t="n">
        <f aca="false">COUNTIFS('Test Cases'!$B$2:$B$200,$A7,'Test Cases'!$M$2:$M$200,"Pass")</f>
        <v>0</v>
      </c>
      <c r="D7" s="4" t="n">
        <f aca="false">COUNTIFS('Test Cases'!$B$2:$B$200,$A7,'Test Cases'!$M$2:$M$200,"Fail")</f>
        <v>0</v>
      </c>
      <c r="E7" s="4" t="n">
        <f aca="false">COUNTIFS('Test Cases'!$B$2:$B$200,$A7,'Test Cases'!$M$2:$M$200,"Blocked")</f>
        <v>0</v>
      </c>
      <c r="F7" s="4" t="n">
        <f aca="false">COUNTIFS('Test Cases'!$B$2:$B$200,$A7,'Test Cases'!$M$2:$M$200,"Not Run")</f>
        <v>9</v>
      </c>
      <c r="G7" s="10" t="n">
        <f aca="false">IF(B7=0,0,C7/B7)</f>
        <v>0</v>
      </c>
    </row>
    <row r="8" customFormat="false" ht="15" hidden="false" customHeight="false" outlineLevel="0" collapsed="false">
      <c r="A8" s="4" t="s">
        <v>47</v>
      </c>
      <c r="B8" s="4" t="n">
        <f aca="false">COUNTIF('Test Cases'!$B$2:$B$200,A8)</f>
        <v>8</v>
      </c>
      <c r="C8" s="4" t="n">
        <f aca="false">COUNTIFS('Test Cases'!$B$2:$B$200,$A8,'Test Cases'!$M$2:$M$200,"Pass")</f>
        <v>0</v>
      </c>
      <c r="D8" s="4" t="n">
        <f aca="false">COUNTIFS('Test Cases'!$B$2:$B$200,$A8,'Test Cases'!$M$2:$M$200,"Fail")</f>
        <v>0</v>
      </c>
      <c r="E8" s="4" t="n">
        <f aca="false">COUNTIFS('Test Cases'!$B$2:$B$200,$A8,'Test Cases'!$M$2:$M$200,"Blocked")</f>
        <v>0</v>
      </c>
      <c r="F8" s="4" t="n">
        <f aca="false">COUNTIFS('Test Cases'!$B$2:$B$200,$A8,'Test Cases'!$M$2:$M$200,"Not Run")</f>
        <v>8</v>
      </c>
      <c r="G8" s="10" t="n">
        <f aca="false">IF(B8=0,0,C8/B8)</f>
        <v>0</v>
      </c>
    </row>
    <row r="9" customFormat="false" ht="15" hidden="false" customHeight="false" outlineLevel="0" collapsed="false">
      <c r="A9" s="4" t="s">
        <v>52</v>
      </c>
      <c r="B9" s="4" t="n">
        <f aca="false">COUNTIF('Test Cases'!$B$2:$B$200,A9)</f>
        <v>4</v>
      </c>
      <c r="C9" s="4" t="n">
        <f aca="false">COUNTIFS('Test Cases'!$B$2:$B$200,$A9,'Test Cases'!$M$2:$M$200,"Pass")</f>
        <v>0</v>
      </c>
      <c r="D9" s="4" t="n">
        <f aca="false">COUNTIFS('Test Cases'!$B$2:$B$200,$A9,'Test Cases'!$M$2:$M$200,"Fail")</f>
        <v>0</v>
      </c>
      <c r="E9" s="4" t="n">
        <f aca="false">COUNTIFS('Test Cases'!$B$2:$B$200,$A9,'Test Cases'!$M$2:$M$200,"Blocked")</f>
        <v>0</v>
      </c>
      <c r="F9" s="4" t="n">
        <f aca="false">COUNTIFS('Test Cases'!$B$2:$B$200,$A9,'Test Cases'!$M$2:$M$200,"Not Run")</f>
        <v>4</v>
      </c>
      <c r="G9" s="10" t="n">
        <f aca="false">IF(B9=0,0,C9/B9)</f>
        <v>0</v>
      </c>
    </row>
    <row r="10" customFormat="false" ht="15" hidden="false" customHeight="false" outlineLevel="0" collapsed="false">
      <c r="A10" s="3" t="s">
        <v>364</v>
      </c>
      <c r="B10" s="3" t="n">
        <f aca="false">SUM(B4:B9)</f>
        <v>49</v>
      </c>
      <c r="C10" s="3" t="n">
        <f aca="false">SUM(C4:C9)</f>
        <v>0</v>
      </c>
      <c r="D10" s="3" t="n">
        <f aca="false">SUM(D4:D9)</f>
        <v>0</v>
      </c>
      <c r="E10" s="3" t="n">
        <f aca="false">SUM(E4:E9)</f>
        <v>0</v>
      </c>
      <c r="F10" s="3" t="n">
        <f aca="false">SUM(F4:F9)</f>
        <v>49</v>
      </c>
      <c r="G10" s="11" t="n">
        <f aca="false">IF(B10=0,0,C10/B10)</f>
        <v>0</v>
      </c>
    </row>
    <row r="11" customFormat="false" ht="15" hidden="false" customHeight="false" outlineLevel="0" collapsed="false">
      <c r="A11" s="2"/>
      <c r="B11" s="2"/>
      <c r="C11" s="2"/>
      <c r="D11" s="2"/>
      <c r="E11" s="2"/>
      <c r="F11" s="2"/>
      <c r="G11" s="2"/>
    </row>
    <row r="12" customFormat="false" ht="15" hidden="false" customHeight="false" outlineLevel="0" collapsed="false">
      <c r="A12" s="12" t="s">
        <v>365</v>
      </c>
      <c r="B12" s="2"/>
      <c r="C12" s="2"/>
      <c r="D12" s="2"/>
      <c r="E12" s="2"/>
      <c r="F12" s="2"/>
      <c r="G12" s="2"/>
    </row>
    <row r="13" customFormat="false" ht="15" hidden="false" customHeight="false" outlineLevel="0" collapsed="false">
      <c r="A13" s="6" t="s">
        <v>343</v>
      </c>
      <c r="B13" s="6" t="s">
        <v>366</v>
      </c>
      <c r="C13" s="2"/>
      <c r="D13" s="2"/>
      <c r="E13" s="2"/>
      <c r="F13" s="2"/>
      <c r="G13" s="2"/>
    </row>
    <row r="14" customFormat="false" ht="15" hidden="false" customHeight="false" outlineLevel="0" collapsed="false">
      <c r="A14" s="4" t="s">
        <v>367</v>
      </c>
      <c r="B14" s="4" t="n">
        <f aca="false">COUNTIFS('Defect Log'!$I$2:$I$200,A14,'Defect Log'!$A$2:$A$200,"DEF-*")</f>
        <v>0</v>
      </c>
      <c r="C14" s="2"/>
      <c r="D14" s="2"/>
      <c r="E14" s="2"/>
      <c r="F14" s="2"/>
      <c r="G14" s="2"/>
    </row>
    <row r="15" customFormat="false" ht="15" hidden="false" customHeight="false" outlineLevel="0" collapsed="false">
      <c r="A15" s="4" t="s">
        <v>76</v>
      </c>
      <c r="B15" s="4" t="n">
        <f aca="false">COUNTIFS('Defect Log'!$I$2:$I$200,A15,'Defect Log'!$A$2:$A$200,"DEF-*")</f>
        <v>0</v>
      </c>
      <c r="C15" s="2"/>
      <c r="D15" s="2"/>
      <c r="E15" s="2"/>
      <c r="F15" s="2"/>
      <c r="G15" s="2"/>
    </row>
    <row r="16" customFormat="false" ht="15" hidden="false" customHeight="false" outlineLevel="0" collapsed="false">
      <c r="A16" s="4" t="s">
        <v>84</v>
      </c>
      <c r="B16" s="4" t="n">
        <f aca="false">COUNTIFS('Defect Log'!$I$2:$I$200,A16,'Defect Log'!$A$2:$A$200,"DEF-*")</f>
        <v>0</v>
      </c>
      <c r="C16" s="2"/>
      <c r="D16" s="2"/>
      <c r="E16" s="2"/>
      <c r="F16" s="2"/>
      <c r="G16" s="2"/>
    </row>
    <row r="17" customFormat="false" ht="15" hidden="false" customHeight="false" outlineLevel="0" collapsed="false">
      <c r="A17" s="4" t="s">
        <v>137</v>
      </c>
      <c r="B17" s="4" t="n">
        <f aca="false">COUNTIFS('Defect Log'!$I$2:$I$200,A17,'Defect Log'!$A$2:$A$200,"DEF-*")</f>
        <v>0</v>
      </c>
      <c r="C17" s="2"/>
      <c r="D17" s="2"/>
      <c r="E17" s="2"/>
      <c r="F17" s="2"/>
      <c r="G17" s="2"/>
    </row>
    <row r="18" customFormat="false" ht="15" hidden="false" customHeight="false" outlineLevel="0" collapsed="false">
      <c r="A18" s="3" t="s">
        <v>368</v>
      </c>
      <c r="B18" s="3" t="n">
        <f aca="false">SUM(B14:B17)</f>
        <v>0</v>
      </c>
      <c r="C18" s="2"/>
      <c r="D18" s="2"/>
      <c r="E18" s="2"/>
      <c r="F18" s="2"/>
      <c r="G18"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2026-10-09T09:44:02Z</dcterms:created>
  <dc:creator>openpyxl</dc:creator>
  <dc:description/>
  <dc:language>en-US</dc:language>
  <cp:lastModifiedBy/>
  <dcterms:modified xsi:type="dcterms:W3CDTF">2026-10-09T09:44:02Z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